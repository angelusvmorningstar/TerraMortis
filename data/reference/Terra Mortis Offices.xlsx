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D:\Terra Mortis\Character Sheets\"/>
    </mc:Choice>
  </mc:AlternateContent>
  <xr:revisionPtr revIDLastSave="0" documentId="13_ncr:1_{DBC40C65-5B41-45F1-A825-F927D9895742}" xr6:coauthVersionLast="47" xr6:coauthVersionMax="47" xr10:uidLastSave="{00000000-0000-0000-0000-000000000000}"/>
  <bookViews>
    <workbookView xWindow="-120" yWindow="-120" windowWidth="29040" windowHeight="15720" xr2:uid="{A2885E16-E1BC-4A4C-B967-9057D14BA435}"/>
  </bookViews>
  <sheets>
    <sheet name="Office Data" sheetId="14" r:id="rId1"/>
    <sheet name="The Ruler" sheetId="44" r:id="rId2"/>
    <sheet name="The Primogen 1" sheetId="46" r:id="rId3"/>
    <sheet name="The Primogen 2" sheetId="47" r:id="rId4"/>
    <sheet name="Socialite 1" sheetId="48" r:id="rId5"/>
    <sheet name="Socialite 2" sheetId="49" r:id="rId6"/>
    <sheet name="The Enforcer" sheetId="50" r:id="rId7"/>
    <sheet name="tbl-Manouevres" sheetId="43" r:id="rId8"/>
    <sheet name="tbl-Merits" sheetId="45" r:id="rId9"/>
  </sheets>
  <definedNames>
    <definedName name="Elements">#REF!</definedName>
    <definedName name="ExternalData_1" localSheetId="0" hidden="1">'Office Data'!$A$1:$AG$7</definedName>
    <definedName name="lstBanes">#REF!</definedName>
    <definedName name="lstBenefactor">#REF!</definedName>
    <definedName name="lstBloodlines">#REF!</definedName>
    <definedName name="lstCarthianLaw">#REF!</definedName>
    <definedName name="lstClan">#REF!</definedName>
    <definedName name="lstCovenant">#REF!</definedName>
    <definedName name="lstDevotions">#REF!</definedName>
    <definedName name="lstDisciplines">#REF!</definedName>
    <definedName name="lstInvictusOaths">#REF!</definedName>
    <definedName name="lstManoeuvres" localSheetId="4">#REF!</definedName>
    <definedName name="lstManoeuvres" localSheetId="5">#REF!</definedName>
    <definedName name="lstManoeuvres" localSheetId="6">#REF!</definedName>
    <definedName name="lstManoeuvres" localSheetId="2">#REF!</definedName>
    <definedName name="lstManoeuvres" localSheetId="3">#REF!</definedName>
    <definedName name="lstManoeuvres" localSheetId="1">#REF!</definedName>
    <definedName name="lstManoeuvres">#REF!</definedName>
    <definedName name="lstMerits" localSheetId="4">#REF!</definedName>
    <definedName name="lstMerits" localSheetId="5">#REF!</definedName>
    <definedName name="lstMerits" localSheetId="6">#REF!</definedName>
    <definedName name="lstMerits" localSheetId="2">#REF!</definedName>
    <definedName name="lstMerits" localSheetId="3">#REF!</definedName>
    <definedName name="lstMerits" localSheetId="1">#REF!</definedName>
    <definedName name="lstMerits">#REF!</definedName>
    <definedName name="lstNature">#REF!</definedName>
    <definedName name="lstPacts">#REF!</definedName>
    <definedName name="lstPriority">#REF!</definedName>
    <definedName name="lstRites">#REF!</definedName>
    <definedName name="lstSkills">#REF!</definedName>
    <definedName name="lstStatu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3" i="44" l="1"/>
  <c r="B33" i="46"/>
  <c r="B33" i="47"/>
  <c r="B33" i="48"/>
  <c r="B33" i="49"/>
  <c r="B33" i="50"/>
  <c r="B21" i="50"/>
  <c r="B20" i="50"/>
  <c r="B19" i="50"/>
  <c r="M17" i="50"/>
  <c r="B18" i="50" s="1"/>
  <c r="L17" i="50"/>
  <c r="F17" i="50"/>
  <c r="B16" i="50" s="1"/>
  <c r="B17" i="50"/>
  <c r="M14" i="50"/>
  <c r="B15" i="50" s="1"/>
  <c r="L14" i="50"/>
  <c r="F14" i="50"/>
  <c r="B10" i="50" s="1"/>
  <c r="L13" i="50"/>
  <c r="M13" i="50" s="1"/>
  <c r="B14" i="50" s="1"/>
  <c r="F13" i="50"/>
  <c r="B9" i="50" s="1"/>
  <c r="M12" i="50"/>
  <c r="B13" i="50" s="1"/>
  <c r="L12" i="50"/>
  <c r="F12" i="50"/>
  <c r="B8" i="50" s="1"/>
  <c r="L11" i="50"/>
  <c r="M11" i="50" s="1"/>
  <c r="B12" i="50" s="1"/>
  <c r="F11" i="50"/>
  <c r="B7" i="50" s="1"/>
  <c r="M10" i="50"/>
  <c r="B11" i="50" s="1"/>
  <c r="L10" i="50"/>
  <c r="F10" i="50"/>
  <c r="B6" i="50" s="1"/>
  <c r="F9" i="50"/>
  <c r="B5" i="50" s="1"/>
  <c r="K8" i="50"/>
  <c r="K5" i="50" s="1"/>
  <c r="K3" i="50" s="1"/>
  <c r="B4" i="50"/>
  <c r="B3" i="50"/>
  <c r="B2" i="50"/>
  <c r="B32" i="50" s="1"/>
  <c r="B21" i="49"/>
  <c r="B20" i="49"/>
  <c r="B19" i="49"/>
  <c r="M17" i="49"/>
  <c r="B18" i="49" s="1"/>
  <c r="L17" i="49"/>
  <c r="F17" i="49"/>
  <c r="B16" i="49" s="1"/>
  <c r="M14" i="49"/>
  <c r="B15" i="49" s="1"/>
  <c r="L14" i="49"/>
  <c r="F14" i="49"/>
  <c r="B10" i="49" s="1"/>
  <c r="L13" i="49"/>
  <c r="M13" i="49" s="1"/>
  <c r="B14" i="49" s="1"/>
  <c r="F13" i="49"/>
  <c r="B9" i="49" s="1"/>
  <c r="M12" i="49"/>
  <c r="B13" i="49" s="1"/>
  <c r="L12" i="49"/>
  <c r="F12" i="49"/>
  <c r="B8" i="49" s="1"/>
  <c r="M11" i="49"/>
  <c r="B12" i="49" s="1"/>
  <c r="L11" i="49"/>
  <c r="F11" i="49"/>
  <c r="B7" i="49" s="1"/>
  <c r="M10" i="49"/>
  <c r="B11" i="49" s="1"/>
  <c r="L10" i="49"/>
  <c r="F10" i="49"/>
  <c r="B6" i="49" s="1"/>
  <c r="F9" i="49"/>
  <c r="B5" i="49" s="1"/>
  <c r="K8" i="49"/>
  <c r="K5" i="49" s="1"/>
  <c r="K3" i="49" s="1"/>
  <c r="B4" i="49"/>
  <c r="B3" i="49"/>
  <c r="B2" i="49"/>
  <c r="B32" i="49" s="1"/>
  <c r="L17" i="48"/>
  <c r="M17" i="48" s="1"/>
  <c r="F17" i="48"/>
  <c r="B16" i="48" s="1"/>
  <c r="B15" i="48"/>
  <c r="M14" i="48"/>
  <c r="L14" i="48"/>
  <c r="F14" i="48"/>
  <c r="B10" i="48" s="1"/>
  <c r="L13" i="48"/>
  <c r="M13" i="48" s="1"/>
  <c r="B14" i="48" s="1"/>
  <c r="F13" i="48"/>
  <c r="B9" i="48" s="1"/>
  <c r="M12" i="48"/>
  <c r="B13" i="48" s="1"/>
  <c r="L12" i="48"/>
  <c r="F12" i="48"/>
  <c r="B8" i="48" s="1"/>
  <c r="L11" i="48"/>
  <c r="M11" i="48" s="1"/>
  <c r="B12" i="48" s="1"/>
  <c r="F11" i="48"/>
  <c r="B7" i="48" s="1"/>
  <c r="M10" i="48"/>
  <c r="B11" i="48" s="1"/>
  <c r="L10" i="48"/>
  <c r="F10" i="48"/>
  <c r="B6" i="48" s="1"/>
  <c r="F9" i="48"/>
  <c r="B5" i="48" s="1"/>
  <c r="K8" i="48"/>
  <c r="K5" i="48" s="1"/>
  <c r="K3" i="48" s="1"/>
  <c r="B4" i="48"/>
  <c r="B3" i="48"/>
  <c r="B2" i="48"/>
  <c r="B32" i="48" s="1"/>
  <c r="F17" i="47"/>
  <c r="F18" i="47" s="1" a="1"/>
  <c r="F18" i="47" s="1"/>
  <c r="F14" i="47"/>
  <c r="B10" i="47" s="1"/>
  <c r="F13" i="47"/>
  <c r="B9" i="47" s="1"/>
  <c r="F12" i="47"/>
  <c r="B8" i="47" s="1"/>
  <c r="F11" i="47"/>
  <c r="B7" i="47" s="1"/>
  <c r="F10" i="47"/>
  <c r="B6" i="47" s="1"/>
  <c r="F9" i="47"/>
  <c r="B5" i="47" s="1"/>
  <c r="F17" i="46"/>
  <c r="F18" i="46" s="1" a="1"/>
  <c r="F18" i="46" s="1"/>
  <c r="F14" i="46"/>
  <c r="F13" i="46"/>
  <c r="F12" i="46"/>
  <c r="F11" i="46"/>
  <c r="F10" i="46"/>
  <c r="F9" i="46"/>
  <c r="F13" i="44"/>
  <c r="F12" i="44"/>
  <c r="F11" i="44"/>
  <c r="F10" i="44"/>
  <c r="F14" i="44"/>
  <c r="F9" i="44"/>
  <c r="F17" i="44"/>
  <c r="L17" i="47"/>
  <c r="M17" i="47" s="1"/>
  <c r="L14" i="47"/>
  <c r="M14" i="47" s="1"/>
  <c r="B15" i="47" s="1"/>
  <c r="L13" i="47"/>
  <c r="M13" i="47" s="1"/>
  <c r="B14" i="47" s="1"/>
  <c r="L12" i="47"/>
  <c r="M12" i="47" s="1"/>
  <c r="B13" i="47" s="1"/>
  <c r="L11" i="47"/>
  <c r="M11" i="47" s="1"/>
  <c r="B12" i="47" s="1"/>
  <c r="M10" i="47"/>
  <c r="B11" i="47" s="1"/>
  <c r="L10" i="47"/>
  <c r="K8" i="47"/>
  <c r="K5" i="47"/>
  <c r="B4" i="47"/>
  <c r="K3" i="47"/>
  <c r="B3" i="47"/>
  <c r="B2" i="47"/>
  <c r="B32" i="47" s="1"/>
  <c r="B16" i="47" l="1"/>
  <c r="F18" i="49" a="1"/>
  <c r="B26" i="49" s="1"/>
  <c r="B31" i="49" s="1"/>
  <c r="F18" i="50" a="1"/>
  <c r="F18" i="50" s="1"/>
  <c r="B22" i="50" s="1"/>
  <c r="B27" i="50" s="1"/>
  <c r="B17" i="49"/>
  <c r="F18" i="48" a="1"/>
  <c r="B26" i="48" s="1"/>
  <c r="B31" i="48" s="1"/>
  <c r="B18" i="48"/>
  <c r="B21" i="48"/>
  <c r="B19" i="48"/>
  <c r="B17" i="48"/>
  <c r="B20" i="48"/>
  <c r="B22" i="47"/>
  <c r="B27" i="47" s="1"/>
  <c r="B18" i="47"/>
  <c r="B21" i="47"/>
  <c r="B20" i="47"/>
  <c r="B17" i="47"/>
  <c r="B19" i="47"/>
  <c r="B21" i="46"/>
  <c r="B20" i="46"/>
  <c r="B19" i="46"/>
  <c r="B25" i="46"/>
  <c r="B30" i="46" s="1"/>
  <c r="M17" i="46"/>
  <c r="B18" i="46" s="1"/>
  <c r="L17" i="46"/>
  <c r="B16" i="46"/>
  <c r="L14" i="46"/>
  <c r="M14" i="46" s="1"/>
  <c r="B15" i="46" s="1"/>
  <c r="L13" i="46"/>
  <c r="M13" i="46" s="1"/>
  <c r="B14" i="46" s="1"/>
  <c r="M12" i="46"/>
  <c r="B13" i="46" s="1"/>
  <c r="L12" i="46"/>
  <c r="M11" i="46"/>
  <c r="B12" i="46" s="1"/>
  <c r="L11" i="46"/>
  <c r="L10" i="46"/>
  <c r="M10" i="46" s="1"/>
  <c r="B11" i="46" s="1"/>
  <c r="B10" i="46"/>
  <c r="B9" i="46"/>
  <c r="K8" i="46"/>
  <c r="B8" i="46"/>
  <c r="B7" i="46"/>
  <c r="B6" i="46"/>
  <c r="K5" i="46"/>
  <c r="B5" i="46"/>
  <c r="B4" i="46"/>
  <c r="K3" i="46"/>
  <c r="B3" i="46"/>
  <c r="B2" i="46"/>
  <c r="B32" i="46" s="1"/>
  <c r="B25" i="49" l="1"/>
  <c r="B30" i="49" s="1"/>
  <c r="F18" i="49"/>
  <c r="B22" i="49" s="1"/>
  <c r="B27" i="49" s="1"/>
  <c r="B24" i="49"/>
  <c r="B29" i="49" s="1"/>
  <c r="B23" i="49"/>
  <c r="B28" i="49" s="1"/>
  <c r="B26" i="50"/>
  <c r="B31" i="50" s="1"/>
  <c r="B25" i="50"/>
  <c r="B30" i="50" s="1"/>
  <c r="B24" i="50"/>
  <c r="B29" i="50" s="1"/>
  <c r="B23" i="50"/>
  <c r="B28" i="50" s="1"/>
  <c r="F18" i="48"/>
  <c r="B22" i="48" s="1"/>
  <c r="B27" i="48" s="1"/>
  <c r="B25" i="48"/>
  <c r="B30" i="48" s="1"/>
  <c r="B24" i="48"/>
  <c r="B29" i="48" s="1"/>
  <c r="B23" i="48"/>
  <c r="B28" i="48" s="1"/>
  <c r="B23" i="47"/>
  <c r="B28" i="47" s="1"/>
  <c r="B26" i="47"/>
  <c r="B31" i="47" s="1"/>
  <c r="B25" i="47"/>
  <c r="B30" i="47" s="1"/>
  <c r="B24" i="47"/>
  <c r="B29" i="47" s="1"/>
  <c r="B23" i="46"/>
  <c r="B28" i="46" s="1"/>
  <c r="B22" i="46"/>
  <c r="B27" i="46" s="1"/>
  <c r="B17" i="46"/>
  <c r="B24" i="46"/>
  <c r="B29" i="46" s="1"/>
  <c r="B26" i="46"/>
  <c r="B31" i="46" s="1"/>
  <c r="B21" i="44"/>
  <c r="B20" i="44"/>
  <c r="B19" i="44"/>
  <c r="B18" i="44"/>
  <c r="B17" i="44"/>
  <c r="F18" i="44" l="1" a="1"/>
  <c r="F18" i="44" s="1"/>
  <c r="B22" i="44" s="1"/>
  <c r="B27" i="44" s="1"/>
  <c r="B5" i="44"/>
  <c r="B16" i="44"/>
  <c r="B7" i="44"/>
  <c r="B8" i="44"/>
  <c r="B9" i="44"/>
  <c r="B10" i="44"/>
  <c r="B6" i="44"/>
  <c r="B25" i="44" l="1"/>
  <c r="B30" i="44" s="1"/>
  <c r="B23" i="44"/>
  <c r="B28" i="44" s="1"/>
  <c r="B26" i="44"/>
  <c r="B31" i="44" s="1"/>
  <c r="B24" i="44"/>
  <c r="B29" i="44" s="1"/>
  <c r="K8" i="44"/>
  <c r="L17" i="44"/>
  <c r="M17" i="44" s="1"/>
  <c r="B4" i="44" l="1"/>
  <c r="B3" i="44"/>
  <c r="B2" i="44"/>
  <c r="B32" i="44" s="1"/>
  <c r="L14" i="44"/>
  <c r="M14" i="44" s="1"/>
  <c r="B15" i="44" s="1"/>
  <c r="L13" i="44"/>
  <c r="M13" i="44" s="1"/>
  <c r="B14" i="44" s="1"/>
  <c r="L12" i="44"/>
  <c r="M12" i="44" s="1"/>
  <c r="B13" i="44" s="1"/>
  <c r="L11" i="44"/>
  <c r="M11" i="44" s="1"/>
  <c r="B12" i="44" s="1"/>
  <c r="L10" i="44"/>
  <c r="M10" i="44" s="1"/>
  <c r="B11" i="44" s="1"/>
  <c r="K5" i="44"/>
  <c r="K3" i="4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628501C-DE6C-488D-96E2-6ACEE0A564F6}" keepAlive="1" name="Query - CharacterCapture" description="Connection to the 'CharacterCapture' query in the workbook." type="5" refreshedVersion="8" background="1" saveData="1">
    <dbPr connection="Provider=Microsoft.Mashup.OleDb.1;Data Source=$Workbook$;Location=CharacterCapture;Extended Properties=&quot;&quot;" command="SELECT * FROM [CharacterCapture]"/>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<sst xmlns="http://schemas.openxmlformats.org/spreadsheetml/2006/main" count="706" uniqueCount="144">
  <si>
    <t>Field</t>
  </si>
  <si>
    <t>Value</t>
  </si>
  <si>
    <t>CP</t>
  </si>
  <si>
    <t>XP</t>
  </si>
  <si>
    <t>Min</t>
  </si>
  <si>
    <t>Max</t>
  </si>
  <si>
    <t>Header</t>
  </si>
  <si>
    <t>Label</t>
  </si>
  <si>
    <t>Primary Input</t>
  </si>
  <si>
    <t>SP</t>
  </si>
  <si>
    <t>Cnv</t>
  </si>
  <si>
    <t>Ttl</t>
  </si>
  <si>
    <t>IDENTITY</t>
  </si>
  <si>
    <t>Lst</t>
  </si>
  <si>
    <t>Sheet</t>
  </si>
  <si>
    <t>Role</t>
  </si>
  <si>
    <t>Premier</t>
  </si>
  <si>
    <t>Holder</t>
  </si>
  <si>
    <t>Eve Lockridge</t>
  </si>
  <si>
    <t>Assets</t>
  </si>
  <si>
    <t>Safe Place</t>
  </si>
  <si>
    <t>Haven</t>
  </si>
  <si>
    <t>Staff</t>
  </si>
  <si>
    <t>Resources</t>
  </si>
  <si>
    <t>Retainer</t>
  </si>
  <si>
    <t>Manouevres</t>
  </si>
  <si>
    <t>Name</t>
  </si>
  <si>
    <t>First Among Equals</t>
  </si>
  <si>
    <t>Manoeuvre</t>
  </si>
  <si>
    <t>Style</t>
  </si>
  <si>
    <t>Rank</t>
  </si>
  <si>
    <t>Effect</t>
  </si>
  <si>
    <t>Due Diligence</t>
  </si>
  <si>
    <t>Spend 1 Influence to learn the number of Doors for a target.</t>
  </si>
  <si>
    <t>Spend 1 Influence instead of 1 Willpower to add +3 to a social contest.</t>
  </si>
  <si>
    <t>Spend 1 Influence to remove a Door. May only be used once per instance of Social Manoeuvring.</t>
  </si>
  <si>
    <t>Spend 1 Influence to add Clan Status to Covenant Status or vice versa for a relevant social contest.</t>
  </si>
  <si>
    <t>Spend 1 Influence to declare a ruling or pronouncement. The target chooses between compliance or a Condition of the Storyteller's choice.</t>
  </si>
  <si>
    <t>Call in a Favour</t>
  </si>
  <si>
    <t>Open Door Policy</t>
  </si>
  <si>
    <t>Willing Coalition</t>
  </si>
  <si>
    <t>Executive Order</t>
  </si>
  <si>
    <t>Balance of Power</t>
  </si>
  <si>
    <t>Neighbourhood Watch</t>
  </si>
  <si>
    <t>Freedom of Information</t>
  </si>
  <si>
    <t>Show of Hands</t>
  </si>
  <si>
    <t>Pull Rank</t>
  </si>
  <si>
    <t>Veto</t>
  </si>
  <si>
    <t>Spend 1 Influence to have a look at the Position sheet of any one Position in play.</t>
  </si>
  <si>
    <t>Spend 1 Influence to have a peek in a bidding box.</t>
  </si>
  <si>
    <t>Spend 1 Influence to add +1 to your City Status for one interaction.</t>
  </si>
  <si>
    <t>Spend 1 Influence to learn the Clan and Covenant status of another Kindred at Court.</t>
  </si>
  <si>
    <t xml:space="preserve">Spend 1 Influence to block a manoeuvre from any Position, provided they have less City Status than you. </t>
  </si>
  <si>
    <t>Elan</t>
  </si>
  <si>
    <t>Size Them Up</t>
  </si>
  <si>
    <t>Faux Pas</t>
  </si>
  <si>
    <t>Saving Face</t>
  </si>
  <si>
    <t>Playing Favourites</t>
  </si>
  <si>
    <t>Curry Favour</t>
  </si>
  <si>
    <t>Spend 1 Influence to learn the rating of one named Status type (Kindred or mortal) for a Kindred you can see.</t>
  </si>
  <si>
    <t>Spend 1 Influence to reroll a failed Social roll. This cannot be used on contested rolls.</t>
  </si>
  <si>
    <t>Spend 1 Influence to learn the Mask of a Kindred you can see.</t>
  </si>
  <si>
    <t>Spend 1 Influence to improve your initial impression by one step for the duration of that Social Manoeuvring. If activated on a new target before the last is resolved, the original's impression drops by two steps.</t>
  </si>
  <si>
    <t xml:space="preserve">Once per game, spend 1 Influence to publicly impose the Leveraged Condition on a Kindred you can see. </t>
  </si>
  <si>
    <t>Goon Squad</t>
  </si>
  <si>
    <t>Perimeter</t>
  </si>
  <si>
    <t>During Downtime, spend 1 Influence and choose 1 territory, then learn if it gets intruded upon.</t>
  </si>
  <si>
    <t>Ear to the Ground</t>
  </si>
  <si>
    <t>During Downtime, spend 1 Influence to gain information from one Sphere.</t>
  </si>
  <si>
    <t>Stakeout</t>
  </si>
  <si>
    <t>During Downtime, spend 1 Influence to learn what Disciplines or powers of the blood are used in a territory.</t>
  </si>
  <si>
    <t xml:space="preserve">Crackdown </t>
  </si>
  <si>
    <t>During Downtime, spend 1 Influence and your attempts to interfere with any Downtime actions gain 8-Again.</t>
  </si>
  <si>
    <t>During Downtime, spend 1 Influence to learn if the Masquerade has been breached or risked.</t>
  </si>
  <si>
    <t>Yes, Minister</t>
  </si>
  <si>
    <t>Title</t>
  </si>
  <si>
    <t>Merit 1</t>
  </si>
  <si>
    <t>Merit 2</t>
  </si>
  <si>
    <t>Merit 4</t>
  </si>
  <si>
    <t>Merit 3</t>
  </si>
  <si>
    <t>Merit 5</t>
  </si>
  <si>
    <t>Merit</t>
  </si>
  <si>
    <t>Merit Dots 1</t>
  </si>
  <si>
    <t>Merit Dots 2</t>
  </si>
  <si>
    <t>Merit Dots 3</t>
  </si>
  <si>
    <t>Merit Dots 4</t>
  </si>
  <si>
    <t>Merit Dots 5</t>
  </si>
  <si>
    <t>tblCharDataRuler</t>
  </si>
  <si>
    <t>-</t>
  </si>
  <si>
    <t>Government House</t>
  </si>
  <si>
    <t>Asset Name</t>
  </si>
  <si>
    <t>Manouevre 1</t>
  </si>
  <si>
    <t>Manouevre 2</t>
  </si>
  <si>
    <t>Manouevre 3</t>
  </si>
  <si>
    <t>Manouevre 4</t>
  </si>
  <si>
    <t>Manouevre 5</t>
  </si>
  <si>
    <t>Manouevre Dots 1</t>
  </si>
  <si>
    <t>Manouevre Dots 2</t>
  </si>
  <si>
    <t>Manouevre Dots 3</t>
  </si>
  <si>
    <t>Manouevre Dots 4</t>
  </si>
  <si>
    <t>Manouevre Dots 5</t>
  </si>
  <si>
    <t>Office Style</t>
  </si>
  <si>
    <t>Manouevre Effect 1</t>
  </si>
  <si>
    <t>Manouevre Effect 2</t>
  </si>
  <si>
    <t>Manouevre Effect 3</t>
  </si>
  <si>
    <t>Manouevre Effect 4</t>
  </si>
  <si>
    <t>Manouevre Effect 5</t>
  </si>
  <si>
    <t/>
  </si>
  <si>
    <t>○</t>
  </si>
  <si>
    <t>Each session, you can raise or lower another's City Status by 1.
You can do this a number of times per session equal to your own Effective City Status.
You cannot raise or lower the same character more than once per session (but you can coordinate with your Socialite or other Court roles to stack changes).
You can strip a character's last dot of City Status, casting them out of the domain. You can grant the first dot of City Status to newcomers at no cost.
Your decisions should be grounded in the City Deeds on the back of this sheet. If you can't justify a Status change, others will be justified in dropping yours.</t>
  </si>
  <si>
    <t>The Ruler</t>
  </si>
  <si>
    <t>Each session, you can raise or lower another character's City Status by 1, once.
You may permanently sacrifice one of your own City Status dots to make a second Status change in the same session.
You cannot affect your own City Status.
Your decisions should be grounded in the City Deeds on the back of this sheet. If you can't justify a Status change, others will be justified in dropping yours.</t>
  </si>
  <si>
    <t>Primogen</t>
  </si>
  <si>
    <t>The Primogen</t>
  </si>
  <si>
    <t>Each session, you can raise or lower another character's City Status by 1.
You can do this a number of times per session equal to your own Effective City Status.
You cannot affect your own City Status, and you cannot hold another major court position simultaneously.
Your decisions should be grounded in the City Deeds on the back of this sheet. If you can't justify a Status change, others will be justified in dropping yours.</t>
  </si>
  <si>
    <t>The Socialite</t>
  </si>
  <si>
    <t>Each session, you can lower another character's City Status by 1 when they breach what you are charged to enforce.
Your enforcement must conform to the norms of court. If you overstep, others will be justified in dropping your own City Status.</t>
  </si>
  <si>
    <t>The Enforcer</t>
  </si>
  <si>
    <t>You do not have Status points and cannot directly raise or lower City Status.
Once per session, you can cite a technicality to block a change in City Status. When you do, you may also declare the target unaffected by further Status increases, decreases, or both for the rest of the night.</t>
  </si>
  <si>
    <t>The Administrator</t>
  </si>
  <si>
    <t>Ability</t>
  </si>
  <si>
    <t>Status Power</t>
  </si>
  <si>
    <t>Rene St Dominique</t>
  </si>
  <si>
    <t>Contacts</t>
  </si>
  <si>
    <t>Column1</t>
  </si>
  <si>
    <t>Edna Judge</t>
  </si>
  <si>
    <t>Closed Book</t>
  </si>
  <si>
    <t>Cacophony Savvy</t>
  </si>
  <si>
    <t>Fame (Kindred)</t>
  </si>
  <si>
    <t>Staff (Sychophants)</t>
  </si>
  <si>
    <t>Fixer</t>
  </si>
  <si>
    <t>Retainer (Hound)</t>
  </si>
  <si>
    <t>Merit Suite</t>
  </si>
  <si>
    <t>Task Force</t>
  </si>
  <si>
    <t>Chains of Office</t>
  </si>
  <si>
    <t>Harpy</t>
  </si>
  <si>
    <t>Brandy LaRoux</t>
  </si>
  <si>
    <t>Protector</t>
  </si>
  <si>
    <t>Doc</t>
  </si>
  <si>
    <t>tblCharDataRuler4</t>
  </si>
  <si>
    <t>tblCharDataRuler45</t>
  </si>
  <si>
    <t>tblCharDataRuler6</t>
  </si>
  <si>
    <t>tblCharDataRuler68</t>
  </si>
  <si>
    <t>tblCharDataRuler9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</si>
</sst>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C09]dd\-mmm\-yy;@"/>
  </numFmts>
  <fonts count="10" x14ac:knownFonts="1">
    <font>
      <sz val="11"/>
      <color theme="1"/>
      <name val="Calibri"/>
      <family val="2"/>
      <scheme val="minor"/>
    </font>
    <font>
      <sz val="8"/>
      <name val="Calibri"/>
      <family val="2"/>
      <scheme val="minor"/>
    </font>
    <font>
      <b/>
      <sz val="11"/>
      <color theme="1"/>
      <name val="Calibri"/>
      <family val="2"/>
      <scheme val="minor"/>
    </font>
    <font>
      <b/>
      <sz val="11"/>
      <color theme="0"/>
      <name val="Calibri"/>
      <family val="2"/>
      <scheme val="minor"/>
    </font>
    <font>
      <b/>
      <sz val="11"/>
      <color rgb="FFC00000"/>
      <name val="Calibri"/>
      <family val="2"/>
      <scheme val="minor"/>
    </font>
    <font>
      <sz val="11"/>
      <color theme="5" tint="-0.499984740745262"/>
      <name val="Calibri"/>
      <family val="2"/>
      <scheme val="minor"/>
    </font>
    <font>
      <sz val="11"/>
      <color rgb="FFC00000"/>
      <name val="Calibri"/>
      <family val="2"/>
      <scheme val="minor"/>
    </font>
    <font>
      <sz val="11"/>
      <color theme="5" tint="0.79998168889431442"/>
      <name val="Calibri"/>
      <family val="2"/>
      <scheme val="minor"/>
    </font>
    <font>
      <sz val="11"/>
      <color rgb="FFA8A29E"/>
      <name val="Arial"/>
      <family val="2"/>
    </font>
    <font>
      <i/>
      <sz val="11"/>
      <color theme="5" tint="-0.499984740745262"/>
      <name val="Calibri"/>
      <family val="2"/>
      <scheme val="minor"/>
    </font>
  </fonts>
  <fills count="9">
    <fill>
      <patternFill patternType="none"/>
    </fill>
    <fill>
      <patternFill patternType="gray125"/>
    </fill>
    <fill>
      <patternFill patternType="solid">
        <fgColor rgb="FFFF7474"/>
        <bgColor indexed="64"/>
      </patternFill>
    </fill>
    <fill>
      <patternFill patternType="solid">
        <fgColor theme="5" tint="0.79998168889431442"/>
        <bgColor indexed="64"/>
      </patternFill>
    </fill>
    <fill>
      <patternFill patternType="solid">
        <fgColor theme="1" tint="0.499984740745262"/>
        <bgColor indexed="64"/>
      </patternFill>
    </fill>
    <fill>
      <patternFill patternType="solid">
        <fgColor rgb="FFFFC6C6"/>
        <bgColor indexed="64"/>
      </patternFill>
    </fill>
    <fill>
      <patternFill patternType="solid">
        <fgColor rgb="FFFFDCDC"/>
        <bgColor indexed="64"/>
      </patternFill>
    </fill>
    <fill>
      <patternFill patternType="solid">
        <fgColor theme="7" tint="0.79998168889431442"/>
        <bgColor indexed="64"/>
      </patternFill>
    </fill>
    <fill>
      <patternFill patternType="solid">
        <fgColor rgb="FF0C0A09"/>
      </patternFill>
    </fill>
  </fills>
  <borders count="8">
    <border>
      <left/>
      <right/>
      <top/>
      <bottom/>
      <diagonal/>
    </border>
    <border>
      <left/>
      <right/>
      <top/>
      <bottom style="medium">
        <color indexed="64"/>
      </bottom>
      <diagonal/>
    </border>
    <border>
      <left/>
      <right/>
      <top/>
      <bottom style="thin">
        <color indexed="64"/>
      </bottom>
      <diagonal/>
    </border>
    <border>
      <left style="thin">
        <color rgb="FFC00000"/>
      </left>
      <right style="thin">
        <color rgb="FFC00000"/>
      </right>
      <top style="thin">
        <color rgb="FFC00000"/>
      </top>
      <bottom style="thin">
        <color rgb="FFC00000"/>
      </bottom>
      <diagonal/>
    </border>
    <border>
      <left style="thin">
        <color theme="5" tint="-0.499984740745262"/>
      </left>
      <right style="thin">
        <color theme="5" tint="-0.499984740745262"/>
      </right>
      <top style="thin">
        <color theme="5" tint="-0.499984740745262"/>
      </top>
      <bottom style="thin">
        <color theme="5" tint="-0.499984740745262"/>
      </bottom>
      <diagonal/>
    </border>
    <border>
      <left/>
      <right/>
      <top/>
      <bottom style="thin">
        <color rgb="FFC00000"/>
      </bottom>
      <diagonal/>
    </border>
    <border>
      <left style="thin">
        <color theme="5" tint="0.59996337778862885"/>
      </left>
      <right style="thin">
        <color theme="5" tint="0.59996337778862885"/>
      </right>
      <top style="thin">
        <color theme="5" tint="0.59996337778862885"/>
      </top>
      <bottom style="thin">
        <color theme="5" tint="0.59996337778862885"/>
      </bottom>
      <diagonal/>
    </border>
    <border>
      <left style="thin">
        <color rgb="FF1E1E22"/>
      </left>
      <right style="thin">
        <color rgb="FF1E1E22"/>
      </right>
      <top style="thin">
        <color rgb="FF1E1E22"/>
      </top>
      <bottom style="thin">
        <color rgb="FF1E1E22"/>
      </bottom>
      <diagonal/>
    </border>
  </borders>
  <cellStyleXfs count="13">
    <xf numFmtId="0" fontId="0" fillId="0" borderId="0"/>
    <xf numFmtId="0" fontId="5" fillId="7" borderId="4" applyNumberFormat="0" applyProtection="0">
      <alignment horizontal="left" indent="1"/>
    </xf>
    <xf numFmtId="0" fontId="4" fillId="3" borderId="3" applyNumberFormat="0" applyProtection="0">
      <alignment horizontal="center"/>
    </xf>
    <xf numFmtId="0" fontId="9" fillId="3" borderId="4" applyNumberFormat="0" applyProtection="0">
      <alignment horizontal="center"/>
    </xf>
    <xf numFmtId="0" fontId="2" fillId="2" borderId="1">
      <alignment horizontal="center"/>
    </xf>
    <xf numFmtId="0" fontId="3" fillId="4" borderId="1">
      <alignment horizontal="center"/>
    </xf>
    <xf numFmtId="0" fontId="2" fillId="5" borderId="1">
      <alignment horizontal="center"/>
    </xf>
    <xf numFmtId="0" fontId="2" fillId="5" borderId="1">
      <alignment horizontal="left" indent="1"/>
    </xf>
    <xf numFmtId="0" fontId="6" fillId="3" borderId="5">
      <alignment horizontal="right" indent="1"/>
    </xf>
    <xf numFmtId="0" fontId="2" fillId="6" borderId="2">
      <alignment horizontal="left" indent="1"/>
    </xf>
    <xf numFmtId="0" fontId="3" fillId="0" borderId="0" applyFont="0" applyAlignment="0">
      <alignment horizontal="center"/>
    </xf>
    <xf numFmtId="0" fontId="7" fillId="3" borderId="6">
      <alignment horizontal="center"/>
    </xf>
    <xf numFmtId="0" fontId="8" fillId="8" borderId="7">
      <alignment horizontal="left" vertical="center"/>
    </xf>
  </cellStyleXfs>
  <cellXfs count="20">
    <xf numFmtId="0" fontId="0" fillId="0" borderId="0" xfId="0"/>
    <xf numFmtId="0" fontId="0" fillId="0" borderId="0" xfId="0" applyAlignment="1">
      <alignment horizontal="right" indent="1"/>
    </xf>
    <xf numFmtId="0" fontId="4" fillId="3" borderId="3" xfId="2">
      <alignment horizontal="center"/>
    </xf>
    <xf numFmtId="0" fontId="0" fillId="0" borderId="0" xfId="0" applyAlignment="1">
      <alignment horizontal="center"/>
    </xf>
    <xf numFmtId="0" fontId="5" fillId="7" borderId="4" xfId="1">
      <alignment horizontal="left" indent="1"/>
    </xf>
    <xf numFmtId="0" fontId="9" fillId="3" borderId="4" xfId="3">
      <alignment horizontal="center"/>
    </xf>
    <xf numFmtId="164" fontId="0" fillId="0" borderId="0" xfId="0" applyNumberFormat="1"/>
    <xf numFmtId="0" fontId="2" fillId="2" borderId="1" xfId="4">
      <alignment horizontal="center"/>
    </xf>
    <xf numFmtId="0" fontId="3" fillId="4" borderId="1" xfId="4" applyFont="1" applyFill="1">
      <alignment horizontal="center"/>
    </xf>
    <xf numFmtId="0" fontId="3" fillId="4" borderId="1" xfId="5">
      <alignment horizontal="center"/>
    </xf>
    <xf numFmtId="0" fontId="2" fillId="5" borderId="1" xfId="4" applyFill="1">
      <alignment horizontal="center"/>
    </xf>
    <xf numFmtId="0" fontId="2" fillId="5" borderId="1" xfId="4" applyFill="1" applyAlignment="1">
      <alignment horizontal="left" indent="1"/>
    </xf>
    <xf numFmtId="0" fontId="6" fillId="3" borderId="5" xfId="8">
      <alignment horizontal="right" indent="1"/>
    </xf>
    <xf numFmtId="0" fontId="6" fillId="3" borderId="6" xfId="8" applyBorder="1">
      <alignment horizontal="right" indent="1"/>
    </xf>
    <xf numFmtId="0" fontId="7" fillId="3" borderId="6" xfId="11">
      <alignment horizontal="center"/>
    </xf>
    <xf numFmtId="1" fontId="0" fillId="0" borderId="0" xfId="0" applyNumberFormat="1"/>
    <xf numFmtId="0" fontId="5" fillId="7" borderId="4" xfId="1" applyAlignment="1">
      <alignment horizontal="center"/>
    </xf>
    <xf numFmtId="0" fontId="0" fillId="0" borderId="0" xfId="0" applyNumberFormat="1"/>
    <xf numFmtId="0" fontId="0" fillId="0" borderId="0" xfId="0" applyAlignment="1">
      <alignment wrapText="1"/>
    </xf>
    <xf numFmtId="0" fontId="3" fillId="4" borderId="1" xfId="5" applyNumberFormat="1">
      <alignment horizontal="center"/>
    </xf>
  </cellXfs>
  <cellStyles count="13">
    <cellStyle name="Account Header" xfId="6" xr:uid="{7E81302A-F1A5-46B0-A89B-33CDBE2FC095}"/>
    <cellStyle name="Calculation" xfId="3" builtinId="22" customBuiltin="1"/>
    <cellStyle name="Character Header" xfId="4" xr:uid="{473AC5E6-05F0-4F0D-93E1-4055DA8A2967}"/>
    <cellStyle name="Export Header" xfId="5" xr:uid="{5394E8CA-42FA-419D-A595-B3EF1B12D9DA}"/>
    <cellStyle name="Filler" xfId="11" xr:uid="{6174E2EF-3C1E-48E6-A237-E3E5119554BC}"/>
    <cellStyle name="Hidden" xfId="10" xr:uid="{D626C623-CB54-4CB0-A7EB-5935F59D0EA6}"/>
    <cellStyle name="Input" xfId="1" builtinId="20" customBuiltin="1"/>
    <cellStyle name="Label" xfId="8" xr:uid="{58FBD6CF-FD2D-48C4-90CB-F956EABD1574}"/>
    <cellStyle name="Normal" xfId="0" builtinId="0"/>
    <cellStyle name="Output" xfId="2" builtinId="21" customBuiltin="1"/>
    <cellStyle name="Section Header" xfId="7" xr:uid="{93240FDF-55FC-4295-A61C-67A171DA6D1C}"/>
    <cellStyle name="Subsection Header" xfId="9" xr:uid="{1E865122-447B-4CBF-8D7F-286709F40A6A}"/>
    <cellStyle name="tm_label" xfId="12" xr:uid="{E594743D-C1BD-4FF0-9014-A4988113EB3A}"/>
  </cellStyles>
  <dxfs count="27">
    <dxf>
      <numFmt numFmtId="0" formatCode="General"/>
    </dxf>
    <dxf>
      <numFmt numFmtId="0" formatCode="General"/>
    </dxf>
    <dxf>
      <alignment horizontal="right" vertical="bottom" textRotation="0" wrapText="0" indent="1" justifyLastLine="0" shrinkToFit="0" readingOrder="0"/>
    </dxf>
    <dxf>
      <numFmt numFmtId="0" formatCode="General"/>
    </dxf>
    <dxf>
      <alignment horizontal="right" vertical="bottom" textRotation="0" wrapText="0" indent="1" justifyLastLine="0" shrinkToFit="0" readingOrder="0"/>
    </dxf>
    <dxf>
      <numFmt numFmtId="0" formatCode="General"/>
    </dxf>
    <dxf>
      <alignment horizontal="right" vertical="bottom" textRotation="0" wrapText="0" indent="1" justifyLastLine="0" shrinkToFit="0" readingOrder="0"/>
    </dxf>
    <dxf>
      <numFmt numFmtId="0" formatCode="General"/>
    </dxf>
    <dxf>
      <alignment horizontal="right" vertical="bottom" textRotation="0" wrapText="0" indent="1" justifyLastLine="0" shrinkToFit="0" readingOrder="0"/>
    </dxf>
    <dxf>
      <numFmt numFmtId="164" formatCode="[$-C09]dd\-mmm\-yy;@"/>
    </dxf>
    <dxf>
      <alignment horizontal="right" vertical="bottom" textRotation="0" wrapText="0" indent="1" justifyLastLine="0" shrinkToFit="0" readingOrder="0"/>
    </dxf>
    <dxf>
      <border outline="0">
        <bottom style="medium">
          <color rgb="FF000000"/>
        </bottom>
      </border>
    </dxf>
    <dxf>
      <numFmt numFmtId="164" formatCode="[$-C09]dd\-mmm\-yy;@"/>
    </dxf>
    <dxf>
      <alignment horizontal="right" vertical="bottom" textRotation="0" wrapText="0" indent="1" justifyLastLine="0" shrinkToFit="0" readingOrder="0"/>
    </dxf>
    <dxf>
      <border outline="0">
        <bottom style="medium">
          <color rgb="FF000000"/>
        </bottom>
      </border>
    </dxf>
    <dxf>
      <border outline="0">
        <bottom style="medium">
          <color rgb="FF000000"/>
        </bottom>
      </border>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border outline="0">
        <bottom style="medium">
          <color rgb="FF000000"/>
        </bottom>
      </border>
    </dxf>
    <dxf>
      <border outline="0">
        <bottom style="medium">
          <color rgb="FF000000"/>
        </bottom>
      </border>
    </dxf>
    <dxf>
      <alignment horizontal="general" vertical="bottom" textRotation="0" wrapText="1" indent="0" justifyLastLine="0" shrinkToFit="0" readingOrder="0"/>
    </dxf>
    <dxf>
      <border outline="0">
        <bottom style="medium">
          <color rgb="FF000000"/>
        </bottom>
      </border>
    </dxf>
    <dxf>
      <numFmt numFmtId="0" formatCode="General"/>
    </dxf>
  </dxfs>
  <tableStyles count="0" defaultTableStyle="TableStyleMedium2" defaultPivotStyle="PivotStyleLight16"/>
  <colors>
    <mruColors>
      <color rgb="FFFFDCDC"/>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F52FB0B-EDB7-4E9F-B0FD-9E17F09FB203}" autoFormatId="16" applyNumberFormats="0" applyBorderFormats="0" applyFontFormats="0" applyPatternFormats="0" applyAlignmentFormats="0" applyWidthHeightFormats="0">
  <queryTableRefresh nextId="1735">
    <queryTableFields count="33">
      <queryTableField id="43" name="Sheet" tableColumnId="43"/>
      <queryTableField id="1700" name="Role" tableColumnId="1"/>
      <queryTableField id="1701" name="Title" tableColumnId="2"/>
      <queryTableField id="1702" name="Holder" tableColumnId="3"/>
      <queryTableField id="1715" name="Asset Name" tableColumnId="16"/>
      <queryTableField id="1703" name="Merit 1" tableColumnId="4"/>
      <queryTableField id="1704" name="Merit 2" tableColumnId="5"/>
      <queryTableField id="1705" name="Merit 3" tableColumnId="6"/>
      <queryTableField id="1706" name="Merit 4" tableColumnId="7"/>
      <queryTableField id="1707" name="Merit 5" tableColumnId="8"/>
      <queryTableField id="1708" name="Merit Dots 1" tableColumnId="9"/>
      <queryTableField id="1709" name="Merit Dots 2" tableColumnId="10"/>
      <queryTableField id="1710" name="Merit Dots 3" tableColumnId="11"/>
      <queryTableField id="1711" name="Merit Dots 4" tableColumnId="12"/>
      <queryTableField id="1712" name="Merit Dots 5" tableColumnId="13"/>
      <queryTableField id="1717" name="Office Style" tableColumnId="14"/>
      <queryTableField id="1718" name="Manouevre Dots 1" tableColumnId="15"/>
      <queryTableField id="1719" name="Manouevre Dots 2" tableColumnId="17"/>
      <queryTableField id="1720" name="Manouevre Dots 3" tableColumnId="18"/>
      <queryTableField id="1721" name="Manouevre Dots 4" tableColumnId="19"/>
      <queryTableField id="1722" name="Manouevre Dots 5" tableColumnId="20"/>
      <queryTableField id="1723" name="Manouevre 1" tableColumnId="21"/>
      <queryTableField id="1724" name="Manouevre 2" tableColumnId="22"/>
      <queryTableField id="1725" name="Manouevre 3" tableColumnId="23"/>
      <queryTableField id="1726" name="Manouevre 4" tableColumnId="24"/>
      <queryTableField id="1727" name="Manouevre 5" tableColumnId="25"/>
      <queryTableField id="1728" name="Manouevre Effect 1" tableColumnId="26"/>
      <queryTableField id="1729" name="Manouevre Effect 2" tableColumnId="27"/>
      <queryTableField id="1730" name="Manouevre Effect 3" tableColumnId="28"/>
      <queryTableField id="1731" name="Manouevre Effect 4" tableColumnId="29"/>
      <queryTableField id="1732" name="Manouevre Effect 5" tableColumnId="30"/>
      <queryTableField id="1733" name="Status Power" tableColumnId="31"/>
      <queryTableField id="1734" name="XP" tableColumnId="32"/>
    </queryTableFields>
    <queryTableDeletedFields count="211">
      <deletedField name="Crafts"/>
      <deletedField name="Investigation"/>
      <deletedField name="Medicine"/>
      <deletedField name="Occult"/>
      <deletedField name="Politics"/>
      <deletedField name="Science"/>
      <deletedField name="Athletics"/>
      <deletedField name="Brawl"/>
      <deletedField name="Drive"/>
      <deletedField name="Firearms"/>
      <deletedField name="Larceny"/>
      <deletedField name="Stealth"/>
      <deletedField name="Survival"/>
      <deletedField name="Weaponry"/>
      <deletedField name="Animal Ken"/>
      <deletedField name="Empathy"/>
      <deletedField name="Expression"/>
      <deletedField name="Intimidation"/>
      <deletedField name="Persuasion"/>
      <deletedField name="Socialise"/>
      <deletedField name="Streetwise"/>
      <deletedField name="Subterfuge"/>
      <deletedField name="Blood Potency"/>
      <deletedField name="BP"/>
      <deletedField name="BP Icon"/>
      <deletedField name="Health"/>
      <deletedField name="Willpower"/>
      <deletedField name="Vitae"/>
      <deletedField name="Vitae Per Turn"/>
      <deletedField name="Can Feed From"/>
      <deletedField name="Academics Spec"/>
      <deletedField name="Computer Spec"/>
      <deletedField name="Crafts Spec"/>
      <deletedField name="Investigation Spec"/>
      <deletedField name="Medicine Spec"/>
      <deletedField name="Occult Spec"/>
      <deletedField name="Politics Spec"/>
      <deletedField name="Science Spec"/>
      <deletedField name="Athletics Spec"/>
      <deletedField name="Brawl Spec"/>
      <deletedField name="Drive Spec"/>
      <deletedField name="Firearms Spec"/>
      <deletedField name="Larceny Spec"/>
      <deletedField name="Stealth Spec"/>
      <deletedField name="Survival Spec"/>
      <deletedField name="Weaponry Spec"/>
      <deletedField name="Animal Ken Spec"/>
      <deletedField name="Empathy Spec"/>
      <deletedField name="Expression Spec"/>
      <deletedField name="Intimidation Spec"/>
      <deletedField name="Persuasion Spec"/>
      <deletedField name="Socialise Spec"/>
      <deletedField name="Streetwise Spec"/>
      <deletedField name="Subterfuge Spec"/>
      <deletedField name="City Status"/>
      <deletedField name="Clan Status"/>
      <deletedField name="Covenant Status"/>
      <deletedField name="Covenant 1"/>
      <deletedField name="Covenant Status 1"/>
      <deletedField name="Covenant 2"/>
      <deletedField name="Covenant Status 2"/>
      <deletedField name="Covenant 3"/>
      <deletedField name="Covenant Status 3"/>
      <deletedField name="Covenant 4"/>
      <deletedField name="Covenant Status 4"/>
      <deletedField name="Hum"/>
      <deletedField name="Hum Icon"/>
      <deletedField name="Humanity 10"/>
      <deletedField name="Humanity 9"/>
      <deletedField name="Humanity 8"/>
      <deletedField name="Humanity 7"/>
      <deletedField name="Humanity 6"/>
      <deletedField name="Humanity 5"/>
      <deletedField name="Humanity 4"/>
      <deletedField name="Humanity 3"/>
      <deletedField name="Humanity 2"/>
      <deletedField name="Humanity 1"/>
      <deletedField name="Merit 1"/>
      <deletedField name="Merit 2"/>
      <deletedField name="Merit 3"/>
      <deletedField name="Merit 4"/>
      <deletedField name="Merit 5"/>
      <deletedField name="Merit 6"/>
      <deletedField name="Merit 7"/>
      <deletedField name="Merit 8"/>
      <deletedField name="Merit 9"/>
      <deletedField name="Merit 10"/>
      <deletedField name="Merit 11"/>
      <deletedField name="Merit 12"/>
      <deletedField name="Merit 13"/>
      <deletedField name="Merit 14"/>
      <deletedField name="Merit 15"/>
      <deletedField name="Merit 16"/>
      <deletedField name="Merit 17"/>
      <deletedField name="Merit 18"/>
      <deletedField name="Merit 19"/>
      <deletedField name="Merit 20"/>
      <deletedField name="Merit Effect 1"/>
      <deletedField name="Merit Effect 2"/>
      <deletedField name="Merit Effect 3"/>
      <deletedField name="Merit Effect 4"/>
      <deletedField name="Merit Effect 5"/>
      <deletedField name="Merit Effect 6"/>
      <deletedField name="Merit Effect 7"/>
      <deletedField name="Merit Effect 8"/>
      <deletedField name="Merit Effect 9"/>
      <deletedField name="Merit Effect 10"/>
      <deletedField name="Merit Effect 11"/>
      <deletedField name="Merit Effect 12"/>
      <deletedField name="Merit Effect 13"/>
      <deletedField name="Merit Effect 14"/>
      <deletedField name="Merit Effect 15"/>
      <deletedField name="Merit Effect 16"/>
      <deletedField name="Merit Effect 17"/>
      <deletedField name="Merit Effect 18"/>
      <deletedField name="Merit Effect 19"/>
      <deletedField name="Merit Effect 20"/>
      <deletedField name="Animalism"/>
      <deletedField name="Auspex"/>
      <deletedField name="Celerity"/>
      <deletedField name="Dominate"/>
      <deletedField name="Majesty"/>
      <deletedField name="Nightmare"/>
      <deletedField name="Obfuscate"/>
      <deletedField name="Protean"/>
      <deletedField name="Resilience"/>
      <deletedField name="Vigour"/>
      <deletedField name="Cruac"/>
      <deletedField name="Theban"/>
      <deletedField name="Creation"/>
      <deletedField name="Destruction"/>
      <deletedField name="Divination"/>
      <deletedField name="Protection"/>
      <deletedField name="Transmutation"/>
      <deletedField name="Blood 1"/>
      <deletedField name="Blood 2"/>
      <deletedField name="Blood 3"/>
      <deletedField name="Blood 4"/>
      <deletedField name="Blood 5"/>
      <deletedField name="Blood 6"/>
      <deletedField name="Blood 7"/>
      <deletedField name="Blood 8"/>
      <deletedField name="Blood 9"/>
      <deletedField name="Blood 10"/>
      <deletedField name="Blood 11"/>
      <deletedField name="Blood 12"/>
      <deletedField name="Blood 13"/>
      <deletedField name="Blood 14"/>
      <deletedField name="Blood 15"/>
      <deletedField name="Blood 16"/>
      <deletedField name="Blood 17"/>
      <deletedField name="Blood 18"/>
      <deletedField name="Blood 19"/>
      <deletedField name="Blood 20"/>
      <deletedField name="Blood Stats 1"/>
      <deletedField name="Blood Stats 2"/>
      <deletedField name="Blood Stats 3"/>
      <deletedField name="Blood Stats 4"/>
      <deletedField name="Blood Stats 5"/>
      <deletedField name="Blood Stats 6"/>
      <deletedField name="Blood Stats 7"/>
      <deletedField name="Blood Stats 8"/>
      <deletedField name="Blood Stats 9"/>
      <deletedField name="Blood Stats 10"/>
      <deletedField name="Blood Stats 11"/>
      <deletedField name="Blood Stats 12"/>
      <deletedField name="Blood Stats 13"/>
      <deletedField name="Blood Stats 14"/>
      <deletedField name="Blood Stats 15"/>
      <deletedField name="Blood Stats 16"/>
      <deletedField name="Blood Stats 17"/>
      <deletedField name="Blood Stats 18"/>
      <deletedField name="Blood Stats 19"/>
      <deletedField name="Blood Stats 20"/>
      <deletedField name="Blood Effect 1"/>
      <deletedField name="Blood Effect 2"/>
      <deletedField name="Blood Effect 3"/>
      <deletedField name="Blood Effect 4"/>
      <deletedField name="Blood Effect 5"/>
      <deletedField name="Blood Effect 6"/>
      <deletedField name="Blood Effect 7"/>
      <deletedField name="Blood Effect 8"/>
      <deletedField name="Blood Effect 9"/>
      <deletedField name="Blood Effect 10"/>
      <deletedField name="Blood Effect 11"/>
      <deletedField name="Blood Effect 12"/>
      <deletedField name="Blood Effect 13"/>
      <deletedField name="Blood Effect 14"/>
      <deletedField name="Blood Effect 15"/>
      <deletedField name="Blood Effect 16"/>
      <deletedField name="Blood Effect 17"/>
      <deletedField name="Blood Effect 18"/>
      <deletedField name="Blood Effect 19"/>
      <deletedField name="Blood Effect 20"/>
      <deletedField name="Clan Bane"/>
      <deletedField name="Bloodline Bane"/>
      <deletedField name="Other Bane 1"/>
      <deletedField name="Other Bane 2"/>
      <deletedField name="Other Bane 3"/>
      <deletedField name="Clan Bane Effect"/>
      <deletedField name="Bloodline Bane Effect"/>
      <deletedField name="Other Bane Effect 1"/>
      <deletedField name="Other Bane Effect 2"/>
      <deletedField name="Other Bane Effect 3"/>
      <deletedField name="Size"/>
      <deletedField name="Speed"/>
      <deletedField name="Defence"/>
      <deletedField name="Aspiration 1"/>
      <deletedField name="Aspiration 2"/>
      <deletedField name="Aspiration 3"/>
      <deletedField name="Features"/>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619C580-B4C4-489D-B99B-A01C5F6C872A}" name="tblCharacterCapture" displayName="tblCharacterCapture" ref="A1:AG7" tableType="queryTable" totalsRowShown="0" headerRowDxfId="26">
  <autoFilter ref="A1:AG7" xr:uid="{C619C580-B4C4-489D-B99B-A01C5F6C872A}"/>
  <sortState xmlns:xlrd2="http://schemas.microsoft.com/office/spreadsheetml/2017/richdata2" ref="A2:AG7">
    <sortCondition ref="A1:A7"/>
  </sortState>
  <tableColumns count="33">
    <tableColumn id="43" xr3:uid="{EE8025A0-E0E7-4BC9-AA55-07098F6D48F2}" uniqueName="43" name="Sheet" queryTableFieldId="43" dataDxfId="0"/>
    <tableColumn id="1" xr3:uid="{764EFB76-B394-4DAE-81EE-4A106B76E28D}" uniqueName="1" name="Role" queryTableFieldId="1700"/>
    <tableColumn id="2" xr3:uid="{350F0F7F-40DC-4D5F-B3AD-BCDFEB1F4DBC}" uniqueName="2" name="Title" queryTableFieldId="1701"/>
    <tableColumn id="3" xr3:uid="{7C7AE217-EDE9-4CFB-B2E2-C8470A339438}" uniqueName="3" name="Holder" queryTableFieldId="1702"/>
    <tableColumn id="16" xr3:uid="{13774C7C-7543-4DD0-A0FD-F8482944D15A}" uniqueName="16" name="Asset Name" queryTableFieldId="1715"/>
    <tableColumn id="4" xr3:uid="{66111F19-0752-404E-9DA7-CDF56A532800}" uniqueName="4" name="Merit 1" queryTableFieldId="1703"/>
    <tableColumn id="5" xr3:uid="{5A6E2909-513A-48A5-9102-604CEC5229E2}" uniqueName="5" name="Merit 2" queryTableFieldId="1704"/>
    <tableColumn id="6" xr3:uid="{86A9591C-A87D-476A-B156-E0E4F1DF04EB}" uniqueName="6" name="Merit 3" queryTableFieldId="1705"/>
    <tableColumn id="7" xr3:uid="{4214F4C8-3C48-400C-942F-8C51DE1FB916}" uniqueName="7" name="Merit 4" queryTableFieldId="1706"/>
    <tableColumn id="8" xr3:uid="{792078D8-EAB8-4244-BAA4-D4AD95948D79}" uniqueName="8" name="Merit 5" queryTableFieldId="1707"/>
    <tableColumn id="9" xr3:uid="{47F88769-7C25-4A4D-92A6-197223DAC0C4}" uniqueName="9" name="Merit Dots 1" queryTableFieldId="1708"/>
    <tableColumn id="10" xr3:uid="{7ED648B8-1E82-49CF-B96F-40404807CE1B}" uniqueName="10" name="Merit Dots 2" queryTableFieldId="1709"/>
    <tableColumn id="11" xr3:uid="{B167D4D0-D7AC-4E31-9FD6-903E7A516EAD}" uniqueName="11" name="Merit Dots 3" queryTableFieldId="1710"/>
    <tableColumn id="12" xr3:uid="{A781A1C2-5C74-4903-85D7-43EB02014547}" uniqueName="12" name="Merit Dots 4" queryTableFieldId="1711"/>
    <tableColumn id="13" xr3:uid="{D82840BA-4272-4D82-A98E-84C732E5A85F}" uniqueName="13" name="Merit Dots 5" queryTableFieldId="1712"/>
    <tableColumn id="14" xr3:uid="{CE8B1BD8-EABE-4BD7-9983-B3EEC037AF67}" uniqueName="14" name="Office Style" queryTableFieldId="1717"/>
    <tableColumn id="15" xr3:uid="{E44CAE6C-85B0-4977-9F34-CC97C8882D2A}" uniqueName="15" name="Manouevre Dots 1" queryTableFieldId="1718"/>
    <tableColumn id="17" xr3:uid="{2DC8469A-D724-46EC-979F-E2270CAF67CD}" uniqueName="17" name="Manouevre Dots 2" queryTableFieldId="1719"/>
    <tableColumn id="18" xr3:uid="{E9E948CF-0AD6-4D58-9E6C-1159308F4F95}" uniqueName="18" name="Manouevre Dots 3" queryTableFieldId="1720"/>
    <tableColumn id="19" xr3:uid="{A1E767D5-B15E-484D-9E20-48BE8691DE96}" uniqueName="19" name="Manouevre Dots 4" queryTableFieldId="1721"/>
    <tableColumn id="20" xr3:uid="{1E9AB597-15D6-4B76-ADDB-0ED435CAF7E2}" uniqueName="20" name="Manouevre Dots 5" queryTableFieldId="1722"/>
    <tableColumn id="21" xr3:uid="{43E2CFC4-DE96-4C54-9237-64197FD5B7ED}" uniqueName="21" name="Manouevre 1" queryTableFieldId="1723"/>
    <tableColumn id="22" xr3:uid="{CB0EEA57-A843-4A00-A105-1737A844FA18}" uniqueName="22" name="Manouevre 2" queryTableFieldId="1724"/>
    <tableColumn id="23" xr3:uid="{8615AD05-D69C-4E64-AE4E-BBBE003274DD}" uniqueName="23" name="Manouevre 3" queryTableFieldId="1725"/>
    <tableColumn id="24" xr3:uid="{C5AD7F38-E9EF-4A15-97DF-25AEC101FDD3}" uniqueName="24" name="Manouevre 4" queryTableFieldId="1726"/>
    <tableColumn id="25" xr3:uid="{D4DB9302-81F6-493A-B3FB-F0CEC3099CEB}" uniqueName="25" name="Manouevre 5" queryTableFieldId="1727"/>
    <tableColumn id="26" xr3:uid="{B4FEE472-508C-451C-B13F-5FAFFACD57F1}" uniqueName="26" name="Manouevre Effect 1" queryTableFieldId="1728"/>
    <tableColumn id="27" xr3:uid="{769F5A43-BFC3-4C52-A93B-BA6EB00868B6}" uniqueName="27" name="Manouevre Effect 2" queryTableFieldId="1729"/>
    <tableColumn id="28" xr3:uid="{96EB386F-34A0-4843-86F2-047D969D88E1}" uniqueName="28" name="Manouevre Effect 3" queryTableFieldId="1730"/>
    <tableColumn id="29" xr3:uid="{150E3CA3-7EA0-4747-AD1C-951FDF3BF449}" uniqueName="29" name="Manouevre Effect 4" queryTableFieldId="1731"/>
    <tableColumn id="30" xr3:uid="{66C71F1C-D33A-41F0-B850-A44C5973FA05}" uniqueName="30" name="Manouevre Effect 5" queryTableFieldId="1732"/>
    <tableColumn id="31" xr3:uid="{E19B9E03-64CC-47A5-9442-7186ED395441}" uniqueName="31" name="Status Power" queryTableFieldId="1733"/>
    <tableColumn id="32" xr3:uid="{572C0979-CFFB-4E2F-9BCA-42F514A5BCE3}" uniqueName="32" name="XP" queryTableFieldId="1734"/>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067A0CD-8091-4A50-B7C8-46A4A11BD0F6}" name="tblCharDataRuler" displayName="tblCharDataRuler" ref="A1:B33" totalsRowShown="0" headerRowBorderDxfId="25">
  <autoFilter ref="A1:B33" xr:uid="{7067A0CD-8091-4A50-B7C8-46A4A11BD0F6}"/>
  <tableColumns count="2">
    <tableColumn id="1" xr3:uid="{94370F0B-3488-485B-B1F2-A12F4D2D4233}" name="Field" dataDxfId="2"/>
    <tableColumn id="2" xr3:uid="{82A69FC4-F327-4D31-940B-BCA2E5AC46E2}" name="Value" dataDxfId="1">
      <calculatedColumnFormula>IF(F3="","",F3)</calculatedColumnFormula>
    </tableColumn>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648E410-A554-416B-A07D-879A3B89540C}" name="tblCharDataRuler4" displayName="tblCharDataRuler4" ref="A1:B33" totalsRowShown="0" headerRowBorderDxfId="23">
  <autoFilter ref="A1:B33" xr:uid="{7067A0CD-8091-4A50-B7C8-46A4A11BD0F6}"/>
  <tableColumns count="2">
    <tableColumn id="1" xr3:uid="{0154EAD5-1F9B-4D4A-A5DF-585AB76BBBAB}" name="Field" dataDxfId="8"/>
    <tableColumn id="2" xr3:uid="{72A4FF0E-3816-4A29-A6DC-FEF3A6F2F0A7}" name="Value" dataDxfId="7">
      <calculatedColumnFormula>IF(F3="","",F3)</calculatedColumnFormula>
    </tableColumn>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6A5A41C-19CF-4780-8C3A-590AC4040541}" name="tblCharDataRuler45" displayName="tblCharDataRuler45" ref="A1:B33" totalsRowShown="0" headerRowBorderDxfId="22">
  <autoFilter ref="A1:B33" xr:uid="{7067A0CD-8091-4A50-B7C8-46A4A11BD0F6}"/>
  <tableColumns count="2">
    <tableColumn id="1" xr3:uid="{45567047-35C3-409E-BFFA-88D7A9B59B23}" name="Field" dataDxfId="6"/>
    <tableColumn id="2" xr3:uid="{13E5BE3B-9FAA-47D1-B395-897A3C1F9B4B}" name="Value" dataDxfId="5">
      <calculatedColumnFormula>IF(F3="","",F3)</calculatedColumnFormula>
    </tableColumn>
  </tableColumns>
  <tableStyleInfo name="TableStyleMedium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7C67744-2C8A-4386-B8B9-C49B682EB89D}" name="tblCharDataRuler6" displayName="tblCharDataRuler6" ref="A1:B33" totalsRowShown="0" headerRowBorderDxfId="15">
  <autoFilter ref="A1:B33" xr:uid="{7067A0CD-8091-4A50-B7C8-46A4A11BD0F6}"/>
  <tableColumns count="2">
    <tableColumn id="1" xr3:uid="{4779914C-CBDE-42F3-8424-79F1C6003A07}" name="Field" dataDxfId="4"/>
    <tableColumn id="2" xr3:uid="{80E9B6C7-FC6C-4E23-8038-AE67520D5F85}" name="Value" dataDxfId="3">
      <calculatedColumnFormula>IF(F3="","",F3)</calculatedColumnFormula>
    </tableColumn>
  </tableColumns>
  <tableStyleInfo name="TableStyleMedium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4DD6AFE-D8AB-45FB-BB8A-C0AE891B7AF7}" name="tblCharDataRuler68" displayName="tblCharDataRuler68" ref="A1:B33" totalsRowShown="0" headerRowBorderDxfId="14">
  <autoFilter ref="A1:B33" xr:uid="{7067A0CD-8091-4A50-B7C8-46A4A11BD0F6}"/>
  <tableColumns count="2">
    <tableColumn id="1" xr3:uid="{F6019138-8F70-4B01-A42A-940D635691A4}" name="Field" dataDxfId="13"/>
    <tableColumn id="2" xr3:uid="{B9EE068E-C8EA-4B52-9A86-A3FD4AE2930D}" name="Value" dataDxfId="12">
      <calculatedColumnFormula>IF(F3="","",F3)</calculatedColumnFormula>
    </tableColumn>
  </tableColumns>
  <tableStyleInfo name="TableStyleMedium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F4BBEE6-067C-480C-8AB5-D064AF56D7CC}" name="tblCharDataRuler9" displayName="tblCharDataRuler9" ref="A1:B33" totalsRowShown="0" headerRowBorderDxfId="11">
  <autoFilter ref="A1:B33" xr:uid="{7067A0CD-8091-4A50-B7C8-46A4A11BD0F6}"/>
  <tableColumns count="2">
    <tableColumn id="1" xr3:uid="{0B0975C2-7916-4764-A2D9-212E60B9596A}" name="Field" dataDxfId="10"/>
    <tableColumn id="2" xr3:uid="{9C2C496C-0E93-4CD1-9CA4-167E4DAF850C}" name="Value" dataDxfId="9">
      <calculatedColumnFormula>IF(F3="","",F3)</calculatedColumnFormula>
    </tableColumn>
  </tableColumns>
  <tableStyleInfo name="TableStyleMedium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71CD23F-F49D-4011-972E-1DDC611CAF3D}" name="tblManoeuvres" displayName="tblManoeuvres" ref="A1:D26" totalsRowShown="0">
  <autoFilter ref="A1:D26" xr:uid="{D71CD23F-F49D-4011-972E-1DDC611CAF3D}"/>
  <sortState xmlns:xlrd2="http://schemas.microsoft.com/office/spreadsheetml/2017/richdata2" ref="A2:D26">
    <sortCondition ref="B1:B26"/>
  </sortState>
  <tableColumns count="4">
    <tableColumn id="1" xr3:uid="{3D70B533-5064-499F-8E4B-E883E4D832AC}" name="Manoeuvre"/>
    <tableColumn id="2" xr3:uid="{86E855F9-5221-46C4-8311-7D1E15C76F72}" name="Style"/>
    <tableColumn id="3" xr3:uid="{37EA4A69-FDDB-4C20-B778-4711C891A2BD}" name="Rank"/>
    <tableColumn id="9" xr3:uid="{A33B7CE2-B64E-4660-BEAE-CBA3727B8A04}" name="Effect"/>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CFA9B2E-2331-4A94-965E-80BA5CBBF39A}" name="tblMerits" displayName="tblMerits" ref="A1:I6" totalsRowShown="0">
  <autoFilter ref="A1:I6" xr:uid="{4CFA9B2E-2331-4A94-965E-80BA5CBBF39A}"/>
  <tableColumns count="9">
    <tableColumn id="1" xr3:uid="{54A07C4F-B68D-49BB-9EA7-3F769E5B95EB}" name="Role"/>
    <tableColumn id="2" xr3:uid="{90531D84-153C-478C-BF8C-B63BB157DF17}" name="Ability" dataDxfId="24"/>
    <tableColumn id="9" xr3:uid="{707AB6E3-C1AD-4B09-A831-807C07AAA099}" name="Merit Suite" dataDxfId="16"/>
    <tableColumn id="4" xr3:uid="{1082693F-A3C3-4B20-90DE-166A86FC116F}" name="Merit 1" dataDxfId="21"/>
    <tableColumn id="5" xr3:uid="{1A3AD4EC-5656-488B-A68F-D469C951EAC1}" name="Merit 2" dataDxfId="20"/>
    <tableColumn id="6" xr3:uid="{36CD0B0C-AB88-4B86-9AF9-B746319E9383}" name="Merit 3" dataDxfId="19"/>
    <tableColumn id="7" xr3:uid="{3F7273BA-A78D-44CE-835A-ACC3384B1B93}" name="Merit 4" dataDxfId="18"/>
    <tableColumn id="8" xr3:uid="{686AD9BB-DCC3-48A1-86FC-3EE9E736857B}" name="Merit 5" dataDxfId="17"/>
    <tableColumn id="3" xr3:uid="{E0E521A4-0D83-465C-B2EA-2279A6E8E6AE}" name="Column1"/>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0FA95-6408-4AA2-A0E5-0829CD659BB4}">
  <dimension ref="A1:CA12"/>
  <sheetViews>
    <sheetView tabSelected="1" workbookViewId="0">
      <selection activeCell="H13" sqref="H13"/>
    </sheetView>
  </sheetViews>
  <sheetFormatPr defaultRowHeight="15" x14ac:dyDescent="0.25"/>
  <cols>
    <col min="1" max="1" width="18.42578125" bestFit="1" customWidth="1"/>
    <col min="2" max="2" width="13.42578125" bestFit="1" customWidth="1"/>
    <col min="3" max="3" width="9.5703125" bestFit="1" customWidth="1"/>
    <col min="4" max="4" width="18.28515625" bestFit="1" customWidth="1"/>
    <col min="5" max="5" width="18.42578125" bestFit="1" customWidth="1"/>
    <col min="6" max="6" width="16.28515625" bestFit="1" customWidth="1"/>
    <col min="7" max="7" width="16.42578125" bestFit="1" customWidth="1"/>
    <col min="8" max="8" width="11.85546875" bestFit="1" customWidth="1"/>
    <col min="9" max="10" width="18.42578125" bestFit="1" customWidth="1"/>
    <col min="11" max="15" width="14.140625" bestFit="1" customWidth="1"/>
    <col min="16" max="16" width="18" bestFit="1" customWidth="1"/>
    <col min="17" max="21" width="19.7109375" bestFit="1" customWidth="1"/>
    <col min="22" max="22" width="21.42578125" bestFit="1" customWidth="1"/>
    <col min="23" max="23" width="22.7109375" bestFit="1" customWidth="1"/>
    <col min="24" max="24" width="16.42578125" bestFit="1" customWidth="1"/>
    <col min="25" max="25" width="17.42578125" bestFit="1" customWidth="1"/>
    <col min="26" max="26" width="21.42578125" bestFit="1" customWidth="1"/>
    <col min="27" max="27" width="81.140625" bestFit="1" customWidth="1"/>
    <col min="28" max="28" width="78" bestFit="1" customWidth="1"/>
    <col min="29" max="31" width="81.140625" bestFit="1" customWidth="1"/>
    <col min="32" max="32" width="81.140625" customWidth="1"/>
    <col min="33" max="33" width="5.5703125" bestFit="1" customWidth="1"/>
    <col min="34" max="34" width="18" bestFit="1" customWidth="1"/>
    <col min="35" max="35" width="18.140625" customWidth="1"/>
    <col min="36" max="36" width="15.5703125" bestFit="1" customWidth="1"/>
    <col min="37" max="37" width="33.140625" bestFit="1" customWidth="1"/>
    <col min="38" max="38" width="81.140625" bestFit="1" customWidth="1"/>
    <col min="39" max="39" width="12.28515625" bestFit="1" customWidth="1"/>
    <col min="40" max="40" width="12.5703125" bestFit="1" customWidth="1"/>
    <col min="41" max="41" width="16.85546875" bestFit="1" customWidth="1"/>
    <col min="42" max="42" width="5.5703125" bestFit="1" customWidth="1"/>
    <col min="43" max="43" width="10.28515625" bestFit="1" customWidth="1"/>
    <col min="44" max="44" width="23.7109375" bestFit="1" customWidth="1"/>
    <col min="45" max="45" width="21.140625" bestFit="1" customWidth="1"/>
    <col min="46" max="46" width="39.28515625" bestFit="1" customWidth="1"/>
    <col min="47" max="47" width="17.140625" bestFit="1" customWidth="1"/>
    <col min="48" max="48" width="45.5703125" bestFit="1" customWidth="1"/>
    <col min="49" max="49" width="17.140625" bestFit="1" customWidth="1"/>
    <col min="50" max="50" width="29.140625" bestFit="1" customWidth="1"/>
    <col min="51" max="51" width="17.140625" bestFit="1" customWidth="1"/>
    <col min="52" max="52" width="24.7109375" bestFit="1" customWidth="1"/>
    <col min="53" max="53" width="17.140625" bestFit="1" customWidth="1"/>
    <col min="54" max="54" width="9.5703125" bestFit="1" customWidth="1"/>
    <col min="55" max="55" width="12.85546875" bestFit="1" customWidth="1"/>
    <col min="56" max="59" width="12.5703125" bestFit="1" customWidth="1"/>
    <col min="60" max="62" width="12.5703125" customWidth="1"/>
    <col min="63" max="63" width="10.28515625" bestFit="1" customWidth="1"/>
    <col min="64" max="64" width="8.85546875" bestFit="1" customWidth="1"/>
    <col min="65" max="65" width="8.7109375" bestFit="1" customWidth="1"/>
    <col min="66" max="66" width="9.7109375" bestFit="1" customWidth="1"/>
    <col min="67" max="67" width="8.7109375" bestFit="1" customWidth="1"/>
    <col min="68" max="68" width="16.42578125" bestFit="1" customWidth="1"/>
    <col min="69" max="69" width="14" bestFit="1" customWidth="1"/>
    <col min="70" max="70" width="12.42578125" bestFit="1" customWidth="1"/>
    <col min="71" max="71" width="9.5703125" bestFit="1" customWidth="1"/>
    <col min="72" max="72" width="12.85546875" bestFit="1" customWidth="1"/>
    <col min="73" max="78" width="12.5703125" bestFit="1" customWidth="1"/>
    <col min="79" max="79" width="9.7109375" style="6" bestFit="1" customWidth="1"/>
    <col min="80" max="80" width="8.42578125" bestFit="1" customWidth="1"/>
    <col min="81" max="81" width="13.7109375" bestFit="1" customWidth="1"/>
    <col min="82" max="82" width="19.140625" bestFit="1" customWidth="1"/>
    <col min="83" max="83" width="20.42578125" bestFit="1" customWidth="1"/>
    <col min="84" max="84" width="10.7109375" bestFit="1" customWidth="1"/>
    <col min="85" max="85" width="9.85546875" bestFit="1" customWidth="1"/>
    <col min="86" max="86" width="64" bestFit="1" customWidth="1"/>
    <col min="87" max="87" width="10.85546875" bestFit="1" customWidth="1"/>
    <col min="88" max="88" width="18.85546875" bestFit="1" customWidth="1"/>
    <col min="89" max="89" width="62.42578125" bestFit="1" customWidth="1"/>
    <col min="90" max="90" width="10" bestFit="1" customWidth="1"/>
    <col min="91" max="91" width="12.85546875" bestFit="1" customWidth="1"/>
    <col min="92" max="92" width="11.5703125" bestFit="1" customWidth="1"/>
    <col min="93" max="93" width="12.85546875" bestFit="1" customWidth="1"/>
    <col min="94" max="94" width="7.28515625" bestFit="1" customWidth="1"/>
    <col min="95" max="95" width="9.28515625" bestFit="1" customWidth="1"/>
    <col min="96" max="96" width="9.85546875" bestFit="1" customWidth="1"/>
    <col min="97" max="97" width="10.5703125" bestFit="1" customWidth="1"/>
    <col min="98" max="98" width="9.42578125" bestFit="1" customWidth="1"/>
    <col min="99" max="99" width="14.42578125" bestFit="1" customWidth="1"/>
    <col min="100" max="100" width="12.42578125" bestFit="1" customWidth="1"/>
    <col min="101" max="101" width="10.42578125" bestFit="1" customWidth="1"/>
    <col min="102" max="102" width="11.7109375" bestFit="1" customWidth="1"/>
    <col min="103" max="103" width="11.140625" bestFit="1" customWidth="1"/>
    <col min="104" max="108" width="9.7109375" bestFit="1" customWidth="1"/>
    <col min="109" max="114" width="14" bestFit="1" customWidth="1"/>
    <col min="115" max="115" width="15.85546875" bestFit="1" customWidth="1"/>
    <col min="116" max="116" width="19.85546875" bestFit="1" customWidth="1"/>
    <col min="117" max="117" width="20.7109375" bestFit="1" customWidth="1"/>
    <col min="118" max="128" width="15" bestFit="1" customWidth="1"/>
    <col min="129" max="129" width="75.28515625" bestFit="1" customWidth="1"/>
    <col min="130" max="130" width="63.42578125" bestFit="1" customWidth="1"/>
    <col min="131" max="132" width="81.140625" bestFit="1" customWidth="1"/>
    <col min="133" max="133" width="64.140625" bestFit="1" customWidth="1"/>
    <col min="134" max="134" width="57.5703125" bestFit="1" customWidth="1"/>
    <col min="135" max="135" width="41.42578125" bestFit="1" customWidth="1"/>
    <col min="136" max="136" width="32.85546875" bestFit="1" customWidth="1"/>
    <col min="137" max="137" width="68.28515625" bestFit="1" customWidth="1"/>
    <col min="138" max="148" width="20.5703125" bestFit="1" customWidth="1"/>
    <col min="149" max="149" width="11.7109375" bestFit="1" customWidth="1"/>
    <col min="150" max="150" width="8.85546875" bestFit="1" customWidth="1"/>
    <col min="151" max="151" width="9.28515625" bestFit="1" customWidth="1"/>
    <col min="152" max="152" width="11" bestFit="1" customWidth="1"/>
    <col min="153" max="153" width="9.42578125" bestFit="1" customWidth="1"/>
    <col min="154" max="154" width="11.7109375" bestFit="1" customWidth="1"/>
    <col min="155" max="155" width="11.28515625" bestFit="1" customWidth="1"/>
    <col min="156" max="156" width="9.28515625" bestFit="1" customWidth="1"/>
    <col min="157" max="157" width="11.42578125" bestFit="1" customWidth="1"/>
    <col min="158" max="158" width="8.140625" bestFit="1" customWidth="1"/>
    <col min="159" max="159" width="7.140625" bestFit="1" customWidth="1"/>
    <col min="160" max="160" width="8.85546875" bestFit="1" customWidth="1"/>
    <col min="161" max="161" width="9.85546875" bestFit="1" customWidth="1"/>
    <col min="162" max="162" width="12.5703125" bestFit="1" customWidth="1"/>
    <col min="163" max="163" width="11.42578125" bestFit="1" customWidth="1"/>
    <col min="164" max="164" width="11.5703125" bestFit="1" customWidth="1"/>
    <col min="165" max="165" width="15.28515625" bestFit="1" customWidth="1"/>
    <col min="166" max="166" width="19.85546875" bestFit="1" customWidth="1"/>
    <col min="167" max="167" width="17.85546875" bestFit="1" customWidth="1"/>
    <col min="168" max="168" width="18" bestFit="1" customWidth="1"/>
    <col min="169" max="169" width="19" bestFit="1" customWidth="1"/>
    <col min="170" max="174" width="12" bestFit="1" customWidth="1"/>
    <col min="175" max="185" width="13.140625" bestFit="1" customWidth="1"/>
    <col min="186" max="194" width="17.85546875" bestFit="1" customWidth="1"/>
    <col min="195" max="205" width="18.85546875" bestFit="1" customWidth="1"/>
    <col min="206" max="206" width="72.42578125" bestFit="1" customWidth="1"/>
    <col min="207" max="207" width="29.7109375" bestFit="1" customWidth="1"/>
    <col min="208" max="208" width="42.42578125" bestFit="1" customWidth="1"/>
    <col min="209" max="209" width="52" bestFit="1" customWidth="1"/>
    <col min="210" max="210" width="44.7109375" bestFit="1" customWidth="1"/>
    <col min="211" max="214" width="19.28515625" bestFit="1" customWidth="1"/>
    <col min="215" max="225" width="20.28515625" bestFit="1" customWidth="1"/>
    <col min="226" max="226" width="72.42578125" bestFit="1" customWidth="1"/>
    <col min="227" max="227" width="29.7109375" bestFit="1" customWidth="1"/>
    <col min="228" max="228" width="42.42578125" bestFit="1" customWidth="1"/>
    <col min="229" max="229" width="52" bestFit="1" customWidth="1"/>
    <col min="230" max="230" width="44.7109375" bestFit="1" customWidth="1"/>
    <col min="231" max="234" width="17" bestFit="1" customWidth="1"/>
    <col min="235" max="245" width="18.140625" bestFit="1" customWidth="1"/>
    <col min="246" max="246" width="52.5703125" bestFit="1" customWidth="1"/>
    <col min="247" max="247" width="53.140625" bestFit="1" customWidth="1"/>
    <col min="248" max="248" width="44.42578125" bestFit="1" customWidth="1"/>
    <col min="249" max="249" width="43.140625" bestFit="1" customWidth="1"/>
    <col min="250" max="250" width="37.28515625" bestFit="1" customWidth="1"/>
    <col min="251" max="254" width="18.28515625" bestFit="1" customWidth="1"/>
    <col min="255" max="265" width="19.28515625" bestFit="1" customWidth="1"/>
    <col min="266" max="266" width="51.42578125" bestFit="1" customWidth="1"/>
    <col min="267" max="267" width="35.7109375" bestFit="1" customWidth="1"/>
    <col min="268" max="268" width="44.5703125" bestFit="1" customWidth="1"/>
    <col min="269" max="269" width="32.5703125" bestFit="1" customWidth="1"/>
    <col min="270" max="270" width="44.5703125" bestFit="1" customWidth="1"/>
    <col min="271" max="274" width="23.5703125" bestFit="1" customWidth="1"/>
    <col min="275" max="284" width="24.5703125" bestFit="1" customWidth="1"/>
    <col min="285" max="285" width="24.5703125" customWidth="1"/>
    <col min="286" max="290" width="25.7109375" bestFit="1" customWidth="1"/>
    <col min="291" max="300" width="14.42578125" bestFit="1" customWidth="1"/>
    <col min="301" max="301" width="12.7109375" bestFit="1" customWidth="1"/>
    <col min="302" max="302" width="9.85546875" bestFit="1" customWidth="1"/>
    <col min="303" max="303" width="10.28515625" bestFit="1" customWidth="1"/>
    <col min="304" max="304" width="12" bestFit="1" customWidth="1"/>
    <col min="305" max="305" width="10.42578125" bestFit="1" customWidth="1"/>
    <col min="306" max="306" width="12.7109375" bestFit="1" customWidth="1"/>
    <col min="307" max="307" width="12.28515625" bestFit="1" customWidth="1"/>
    <col min="308" max="308" width="10.28515625" bestFit="1" customWidth="1"/>
    <col min="309" max="309" width="12.42578125" bestFit="1" customWidth="1"/>
    <col min="310" max="311" width="9.140625" bestFit="1" customWidth="1"/>
    <col min="312" max="314" width="57" bestFit="1" customWidth="1"/>
    <col min="315" max="315" width="12.7109375" bestFit="1" customWidth="1"/>
    <col min="316" max="317" width="57" bestFit="1" customWidth="1"/>
    <col min="318" max="318" width="16.140625" bestFit="1" customWidth="1"/>
    <col min="319" max="319" width="9.28515625" bestFit="1" customWidth="1"/>
    <col min="320" max="323" width="57" bestFit="1" customWidth="1"/>
    <col min="324" max="324" width="16" bestFit="1" customWidth="1"/>
    <col min="325" max="325" width="12.7109375" bestFit="1" customWidth="1"/>
    <col min="326" max="326" width="11.85546875" bestFit="1" customWidth="1"/>
    <col min="327" max="327" width="15.7109375" bestFit="1" customWidth="1"/>
    <col min="328" max="328" width="81.140625" bestFit="1" customWidth="1"/>
    <col min="329" max="329" width="6.85546875" bestFit="1" customWidth="1"/>
    <col min="330" max="330" width="8.85546875" bestFit="1" customWidth="1"/>
    <col min="331" max="331" width="10.7109375" bestFit="1" customWidth="1"/>
    <col min="332" max="332" width="13.140625" bestFit="1" customWidth="1"/>
    <col min="333" max="336" width="13.42578125" bestFit="1" customWidth="1"/>
    <col min="337" max="340" width="8.7109375" bestFit="1" customWidth="1"/>
    <col min="341" max="341" width="81.140625" bestFit="1" customWidth="1"/>
    <col min="342" max="345" width="13.85546875" bestFit="1" customWidth="1"/>
    <col min="346" max="346" width="14.42578125" bestFit="1" customWidth="1"/>
    <col min="347" max="347" width="19" bestFit="1" customWidth="1"/>
    <col min="348" max="348" width="16.85546875" bestFit="1" customWidth="1"/>
    <col min="349" max="349" width="16.140625" bestFit="1" customWidth="1"/>
    <col min="350" max="354" width="13" bestFit="1" customWidth="1"/>
    <col min="355" max="365" width="14" bestFit="1" customWidth="1"/>
    <col min="366" max="366" width="32.28515625" bestFit="1" customWidth="1"/>
    <col min="367" max="367" width="26.42578125" bestFit="1" customWidth="1"/>
    <col min="368" max="369" width="21.5703125" bestFit="1" customWidth="1"/>
    <col min="370" max="371" width="32.28515625" bestFit="1" customWidth="1"/>
    <col min="372" max="374" width="21.5703125" bestFit="1" customWidth="1"/>
    <col min="375" max="385" width="22.5703125" bestFit="1" customWidth="1"/>
    <col min="386" max="386" width="27.7109375" bestFit="1" customWidth="1"/>
    <col min="387" max="387" width="27.28515625" bestFit="1" customWidth="1"/>
    <col min="388" max="388" width="17.140625" bestFit="1" customWidth="1"/>
    <col min="389" max="389" width="29" bestFit="1" customWidth="1"/>
    <col min="390" max="394" width="17.140625" bestFit="1" customWidth="1"/>
    <col min="395" max="405" width="18.140625" bestFit="1" customWidth="1"/>
    <col min="406" max="406" width="38.85546875" bestFit="1" customWidth="1"/>
    <col min="407" max="407" width="52.5703125" bestFit="1" customWidth="1"/>
    <col min="408" max="408" width="38.28515625" bestFit="1" customWidth="1"/>
    <col min="409" max="409" width="33.140625" bestFit="1" customWidth="1"/>
    <col min="410" max="410" width="18.28515625" bestFit="1" customWidth="1"/>
    <col min="411" max="411" width="27.140625" bestFit="1" customWidth="1"/>
    <col min="412" max="414" width="18.28515625" bestFit="1" customWidth="1"/>
    <col min="415" max="425" width="19.28515625" bestFit="1" customWidth="1"/>
    <col min="426" max="426" width="51.42578125" bestFit="1" customWidth="1"/>
    <col min="427" max="427" width="31.7109375" bestFit="1" customWidth="1"/>
    <col min="428" max="428" width="28.5703125" bestFit="1" customWidth="1"/>
    <col min="429" max="429" width="33.28515625" bestFit="1" customWidth="1"/>
    <col min="430" max="430" width="44.5703125" bestFit="1" customWidth="1"/>
    <col min="431" max="431" width="49.28515625" bestFit="1" customWidth="1"/>
    <col min="432" max="432" width="23.7109375" bestFit="1" customWidth="1"/>
    <col min="433" max="434" width="23.7109375" customWidth="1"/>
    <col min="435" max="444" width="24.7109375" bestFit="1" customWidth="1"/>
    <col min="445" max="445" width="24.7109375" customWidth="1"/>
    <col min="446" max="446" width="24.7109375" bestFit="1" customWidth="1"/>
    <col min="447" max="447" width="24.7109375" customWidth="1"/>
    <col min="448" max="448" width="23.7109375" bestFit="1" customWidth="1"/>
    <col min="449" max="459" width="24.7109375" bestFit="1" customWidth="1"/>
    <col min="460" max="460" width="43.85546875" bestFit="1" customWidth="1"/>
    <col min="461" max="464" width="22.5703125" bestFit="1" customWidth="1"/>
    <col min="465" max="465" width="81.140625" bestFit="1" customWidth="1"/>
    <col min="466" max="466" width="76.140625" bestFit="1" customWidth="1"/>
    <col min="467" max="467" width="81.140625" bestFit="1" customWidth="1"/>
    <col min="468" max="468" width="69.7109375" bestFit="1" customWidth="1"/>
    <col min="469" max="474" width="81.140625" bestFit="1" customWidth="1"/>
    <col min="475" max="475" width="75.85546875" bestFit="1" customWidth="1"/>
    <col min="476" max="476" width="81.140625" bestFit="1" customWidth="1"/>
    <col min="477" max="477" width="72.5703125" bestFit="1" customWidth="1"/>
    <col min="478" max="479" width="81.140625" bestFit="1" customWidth="1"/>
    <col min="480" max="480" width="73.85546875" bestFit="1" customWidth="1"/>
    <col min="481" max="484" width="19.28515625" bestFit="1" customWidth="1"/>
    <col min="485" max="493" width="17" bestFit="1" customWidth="1"/>
    <col min="494" max="504" width="18" bestFit="1" customWidth="1"/>
    <col min="505" max="513" width="18.85546875" bestFit="1" customWidth="1"/>
    <col min="514" max="524" width="20" bestFit="1" customWidth="1"/>
    <col min="525" max="533" width="16.5703125" bestFit="1" customWidth="1"/>
    <col min="534" max="534" width="17.5703125" bestFit="1" customWidth="1"/>
    <col min="535" max="536" width="19.42578125" bestFit="1" customWidth="1"/>
    <col min="537" max="537" width="26.7109375" bestFit="1" customWidth="1"/>
    <col min="538" max="544" width="17.5703125" bestFit="1" customWidth="1"/>
    <col min="545" max="545" width="32.140625" bestFit="1" customWidth="1"/>
    <col min="546" max="546" width="38.85546875" bestFit="1" customWidth="1"/>
    <col min="547" max="547" width="43" bestFit="1" customWidth="1"/>
    <col min="548" max="548" width="67.28515625" bestFit="1" customWidth="1"/>
    <col min="549" max="549" width="57.42578125" bestFit="1" customWidth="1"/>
    <col min="550" max="550" width="46" bestFit="1" customWidth="1"/>
    <col min="551" max="551" width="55.85546875" bestFit="1" customWidth="1"/>
    <col min="552" max="552" width="68.7109375" bestFit="1" customWidth="1"/>
    <col min="553" max="553" width="58.42578125" bestFit="1" customWidth="1"/>
    <col min="554" max="554" width="52.5703125" bestFit="1" customWidth="1"/>
    <col min="555" max="555" width="30.28515625" bestFit="1" customWidth="1"/>
    <col min="556" max="556" width="43.7109375" bestFit="1" customWidth="1"/>
    <col min="557" max="557" width="36.28515625" bestFit="1" customWidth="1"/>
    <col min="558" max="558" width="71.28515625" bestFit="1" customWidth="1"/>
    <col min="559" max="559" width="38.28515625" bestFit="1" customWidth="1"/>
    <col min="560" max="560" width="28.85546875" bestFit="1" customWidth="1"/>
    <col min="561" max="564" width="19.28515625" bestFit="1" customWidth="1"/>
    <col min="565" max="565" width="39.85546875" bestFit="1" customWidth="1"/>
    <col min="566" max="566" width="18" bestFit="1" customWidth="1"/>
    <col min="567" max="567" width="19.140625" bestFit="1" customWidth="1"/>
    <col min="568" max="568" width="16" bestFit="1" customWidth="1"/>
    <col min="569" max="569" width="35" bestFit="1" customWidth="1"/>
    <col min="570" max="570" width="30.7109375" bestFit="1" customWidth="1"/>
    <col min="571" max="571" width="35.42578125" bestFit="1" customWidth="1"/>
    <col min="572" max="572" width="31" bestFit="1" customWidth="1"/>
    <col min="573" max="573" width="22.5703125" bestFit="1" customWidth="1"/>
    <col min="574" max="574" width="30.140625" bestFit="1" customWidth="1"/>
    <col min="575" max="575" width="26.28515625" bestFit="1" customWidth="1"/>
    <col min="576" max="576" width="28.28515625" bestFit="1" customWidth="1"/>
    <col min="577" max="577" width="17" bestFit="1" customWidth="1"/>
    <col min="578" max="578" width="27.42578125" bestFit="1" customWidth="1"/>
    <col min="579" max="579" width="27" bestFit="1" customWidth="1"/>
    <col min="580" max="580" width="25.7109375" bestFit="1" customWidth="1"/>
    <col min="581" max="584" width="17" bestFit="1" customWidth="1"/>
    <col min="585" max="590" width="16.5703125" bestFit="1" customWidth="1"/>
    <col min="591" max="591" width="18.140625" bestFit="1" customWidth="1"/>
    <col min="592" max="592" width="16.5703125" bestFit="1" customWidth="1"/>
    <col min="593" max="593" width="18.140625" bestFit="1" customWidth="1"/>
    <col min="594" max="594" width="17.5703125" bestFit="1" customWidth="1"/>
    <col min="595" max="596" width="21.42578125" bestFit="1" customWidth="1"/>
    <col min="597" max="597" width="28.5703125" bestFit="1" customWidth="1"/>
    <col min="598" max="604" width="17.5703125" bestFit="1" customWidth="1"/>
    <col min="605" max="605" width="9.7109375" bestFit="1" customWidth="1"/>
    <col min="606" max="606" width="81.140625" bestFit="1" customWidth="1"/>
    <col min="607" max="607" width="68.140625" bestFit="1" customWidth="1"/>
    <col min="608" max="608" width="74.28515625" bestFit="1" customWidth="1"/>
    <col min="609" max="616" width="62.42578125" bestFit="1" customWidth="1"/>
    <col min="617" max="617" width="14.85546875" customWidth="1"/>
    <col min="618" max="618" width="13.140625" customWidth="1"/>
    <col min="619" max="619" width="14.42578125" bestFit="1" customWidth="1"/>
    <col min="620" max="631" width="55.5703125" customWidth="1"/>
    <col min="632" max="632" width="9.140625" bestFit="1" customWidth="1"/>
    <col min="633" max="635" width="57" bestFit="1" customWidth="1"/>
    <col min="636" max="636" width="12.7109375" bestFit="1" customWidth="1"/>
    <col min="637" max="638" width="57" bestFit="1" customWidth="1"/>
    <col min="639" max="639" width="16.140625" bestFit="1" customWidth="1"/>
    <col min="640" max="643" width="57" bestFit="1" customWidth="1"/>
    <col min="644" max="644" width="16" bestFit="1" customWidth="1"/>
    <col min="645" max="645" width="12.7109375" bestFit="1" customWidth="1"/>
    <col min="646" max="646" width="11.85546875" bestFit="1" customWidth="1"/>
    <col min="647" max="648" width="55.5703125" customWidth="1"/>
    <col min="649" max="649" width="47.7109375" bestFit="1" customWidth="1"/>
    <col min="650" max="650" width="80" bestFit="1" customWidth="1"/>
    <col min="651" max="651" width="6.85546875" bestFit="1" customWidth="1"/>
    <col min="652" max="652" width="8.85546875" bestFit="1" customWidth="1"/>
    <col min="653" max="653" width="10.7109375" bestFit="1" customWidth="1"/>
    <col min="654" max="654" width="13.140625" bestFit="1" customWidth="1"/>
    <col min="655" max="655" width="55.5703125" bestFit="1" customWidth="1"/>
    <col min="656" max="656" width="9.140625" bestFit="1" customWidth="1"/>
    <col min="657" max="659" width="57" bestFit="1" customWidth="1"/>
    <col min="660" max="660" width="12.7109375" bestFit="1" customWidth="1"/>
    <col min="661" max="661" width="57" customWidth="1"/>
    <col min="662" max="662" width="57" bestFit="1" customWidth="1"/>
    <col min="663" max="663" width="16.140625" bestFit="1" customWidth="1"/>
    <col min="664" max="667" width="57" bestFit="1" customWidth="1"/>
    <col min="668" max="668" width="16" bestFit="1" customWidth="1"/>
    <col min="669" max="669" width="12.7109375" bestFit="1" customWidth="1"/>
    <col min="670" max="670" width="11.85546875" bestFit="1" customWidth="1"/>
    <col min="671" max="672" width="55.5703125" bestFit="1" customWidth="1"/>
    <col min="673" max="673" width="49.7109375" bestFit="1" customWidth="1"/>
    <col min="674" max="674" width="80" bestFit="1" customWidth="1"/>
    <col min="675" max="675" width="6.85546875" bestFit="1" customWidth="1"/>
    <col min="676" max="676" width="8.85546875" bestFit="1" customWidth="1"/>
    <col min="677" max="677" width="10.7109375" bestFit="1" customWidth="1"/>
    <col min="678" max="678" width="13.140625" customWidth="1"/>
    <col min="679" max="679" width="80" bestFit="1" customWidth="1"/>
    <col min="680" max="680" width="6.85546875" bestFit="1" customWidth="1"/>
    <col min="681" max="681" width="8.85546875" bestFit="1" customWidth="1"/>
    <col min="682" max="682" width="10.7109375" bestFit="1" customWidth="1"/>
    <col min="683" max="683" width="13.140625" customWidth="1"/>
    <col min="684" max="684" width="55.5703125" customWidth="1"/>
    <col min="685" max="693" width="11.140625" bestFit="1" customWidth="1"/>
    <col min="694" max="696" width="12.140625" bestFit="1" customWidth="1"/>
    <col min="697" max="720" width="11.42578125" bestFit="1" customWidth="1"/>
  </cols>
  <sheetData>
    <row r="1" spans="1:79" x14ac:dyDescent="0.25">
      <c r="A1" s="1" t="s">
        <v>14</v>
      </c>
      <c r="B1" t="s">
        <v>15</v>
      </c>
      <c r="C1" t="s">
        <v>75</v>
      </c>
      <c r="D1" t="s">
        <v>17</v>
      </c>
      <c r="E1" t="s">
        <v>90</v>
      </c>
      <c r="F1" t="s">
        <v>76</v>
      </c>
      <c r="G1" t="s">
        <v>77</v>
      </c>
      <c r="H1" t="s">
        <v>79</v>
      </c>
      <c r="I1" t="s">
        <v>78</v>
      </c>
      <c r="J1" t="s">
        <v>80</v>
      </c>
      <c r="K1" t="s">
        <v>82</v>
      </c>
      <c r="L1" t="s">
        <v>83</v>
      </c>
      <c r="M1" t="s">
        <v>84</v>
      </c>
      <c r="N1" t="s">
        <v>85</v>
      </c>
      <c r="O1" t="s">
        <v>86</v>
      </c>
      <c r="P1" t="s">
        <v>101</v>
      </c>
      <c r="Q1" t="s">
        <v>96</v>
      </c>
      <c r="R1" t="s">
        <v>97</v>
      </c>
      <c r="S1" t="s">
        <v>98</v>
      </c>
      <c r="T1" t="s">
        <v>99</v>
      </c>
      <c r="U1" t="s">
        <v>100</v>
      </c>
      <c r="V1" t="s">
        <v>91</v>
      </c>
      <c r="W1" t="s">
        <v>92</v>
      </c>
      <c r="X1" t="s">
        <v>93</v>
      </c>
      <c r="Y1" t="s">
        <v>94</v>
      </c>
      <c r="Z1" t="s">
        <v>95</v>
      </c>
      <c r="AA1" t="s">
        <v>102</v>
      </c>
      <c r="AB1" t="s">
        <v>103</v>
      </c>
      <c r="AC1" t="s">
        <v>104</v>
      </c>
      <c r="AD1" t="s">
        <v>105</v>
      </c>
      <c r="AE1" t="s">
        <v>106</v>
      </c>
      <c r="AF1" t="s">
        <v>121</v>
      </c>
      <c r="AG1" t="s">
        <v>3</v>
      </c>
      <c r="CA1"/>
    </row>
    <row r="2" spans="1:79" x14ac:dyDescent="0.25">
      <c r="A2" s="17" t="s">
        <v>87</v>
      </c>
      <c r="B2" t="s">
        <v>110</v>
      </c>
      <c r="C2" t="s">
        <v>16</v>
      </c>
      <c r="D2" t="s">
        <v>18</v>
      </c>
      <c r="E2" t="s">
        <v>89</v>
      </c>
      <c r="F2" t="s">
        <v>20</v>
      </c>
      <c r="G2" t="s">
        <v>21</v>
      </c>
      <c r="H2" t="s">
        <v>22</v>
      </c>
      <c r="I2" t="s">
        <v>23</v>
      </c>
      <c r="J2" t="s">
        <v>89</v>
      </c>
      <c r="K2" t="s">
        <v>88</v>
      </c>
      <c r="L2" t="s">
        <v>88</v>
      </c>
      <c r="M2" t="s">
        <v>88</v>
      </c>
      <c r="N2" t="s">
        <v>88</v>
      </c>
      <c r="O2" t="s">
        <v>88</v>
      </c>
      <c r="P2" t="s">
        <v>27</v>
      </c>
      <c r="Q2" t="s">
        <v>108</v>
      </c>
      <c r="R2" t="s">
        <v>108</v>
      </c>
      <c r="S2" t="s">
        <v>108</v>
      </c>
      <c r="T2" t="s">
        <v>108</v>
      </c>
      <c r="U2" t="s">
        <v>108</v>
      </c>
      <c r="V2" t="s">
        <v>32</v>
      </c>
      <c r="W2" t="s">
        <v>38</v>
      </c>
      <c r="X2" t="s">
        <v>39</v>
      </c>
      <c r="Y2" t="s">
        <v>40</v>
      </c>
      <c r="Z2" t="s">
        <v>41</v>
      </c>
      <c r="AA2" t="s">
        <v>33</v>
      </c>
      <c r="AB2" t="s">
        <v>34</v>
      </c>
      <c r="AC2" t="s">
        <v>35</v>
      </c>
      <c r="AD2" t="s">
        <v>36</v>
      </c>
      <c r="AE2" t="s">
        <v>37</v>
      </c>
      <c r="AF2" t="s">
        <v>109</v>
      </c>
      <c r="AG2">
        <v>1</v>
      </c>
      <c r="CA2"/>
    </row>
    <row r="3" spans="1:79" x14ac:dyDescent="0.25">
      <c r="A3" s="17" t="s">
        <v>139</v>
      </c>
      <c r="B3" t="s">
        <v>113</v>
      </c>
      <c r="C3" t="s">
        <v>112</v>
      </c>
      <c r="D3" t="s">
        <v>122</v>
      </c>
      <c r="E3" t="s">
        <v>134</v>
      </c>
      <c r="F3" t="s">
        <v>123</v>
      </c>
      <c r="G3" t="s">
        <v>126</v>
      </c>
      <c r="H3" t="s">
        <v>22</v>
      </c>
      <c r="I3" t="s">
        <v>24</v>
      </c>
      <c r="J3" t="s">
        <v>134</v>
      </c>
      <c r="K3" t="s">
        <v>88</v>
      </c>
      <c r="L3" t="s">
        <v>88</v>
      </c>
      <c r="M3" t="s">
        <v>88</v>
      </c>
      <c r="N3" t="s">
        <v>88</v>
      </c>
      <c r="O3" t="s">
        <v>88</v>
      </c>
      <c r="P3" t="s">
        <v>42</v>
      </c>
      <c r="Q3" t="s">
        <v>108</v>
      </c>
      <c r="R3" t="s">
        <v>108</v>
      </c>
      <c r="S3" t="s">
        <v>108</v>
      </c>
      <c r="T3" t="s">
        <v>108</v>
      </c>
      <c r="U3" t="s">
        <v>108</v>
      </c>
      <c r="V3" t="s">
        <v>43</v>
      </c>
      <c r="W3" t="s">
        <v>44</v>
      </c>
      <c r="X3" t="s">
        <v>45</v>
      </c>
      <c r="Y3" t="s">
        <v>46</v>
      </c>
      <c r="Z3" t="s">
        <v>47</v>
      </c>
      <c r="AA3" t="s">
        <v>51</v>
      </c>
      <c r="AB3" t="s">
        <v>48</v>
      </c>
      <c r="AC3" t="s">
        <v>49</v>
      </c>
      <c r="AD3" t="s">
        <v>50</v>
      </c>
      <c r="AE3" t="s">
        <v>52</v>
      </c>
      <c r="AF3" t="s">
        <v>111</v>
      </c>
      <c r="AG3">
        <v>1</v>
      </c>
      <c r="CA3"/>
    </row>
    <row r="4" spans="1:79" x14ac:dyDescent="0.25">
      <c r="A4" s="17" t="s">
        <v>140</v>
      </c>
      <c r="B4" t="s">
        <v>113</v>
      </c>
      <c r="C4" t="s">
        <v>112</v>
      </c>
      <c r="D4" t="s">
        <v>125</v>
      </c>
      <c r="E4" t="s">
        <v>134</v>
      </c>
      <c r="F4" t="s">
        <v>123</v>
      </c>
      <c r="G4" t="s">
        <v>126</v>
      </c>
      <c r="H4" t="s">
        <v>22</v>
      </c>
      <c r="I4" t="s">
        <v>24</v>
      </c>
      <c r="J4" t="s">
        <v>134</v>
      </c>
      <c r="K4" t="s">
        <v>88</v>
      </c>
      <c r="L4" t="s">
        <v>88</v>
      </c>
      <c r="M4" t="s">
        <v>88</v>
      </c>
      <c r="N4" t="s">
        <v>88</v>
      </c>
      <c r="O4" t="s">
        <v>88</v>
      </c>
      <c r="P4" t="s">
        <v>42</v>
      </c>
      <c r="Q4" t="s">
        <v>108</v>
      </c>
      <c r="R4" t="s">
        <v>108</v>
      </c>
      <c r="S4" t="s">
        <v>108</v>
      </c>
      <c r="T4" t="s">
        <v>108</v>
      </c>
      <c r="U4" t="s">
        <v>108</v>
      </c>
      <c r="V4" t="s">
        <v>43</v>
      </c>
      <c r="W4" t="s">
        <v>44</v>
      </c>
      <c r="X4" t="s">
        <v>45</v>
      </c>
      <c r="Y4" t="s">
        <v>46</v>
      </c>
      <c r="Z4" t="s">
        <v>47</v>
      </c>
      <c r="AA4" t="s">
        <v>51</v>
      </c>
      <c r="AB4" t="s">
        <v>48</v>
      </c>
      <c r="AC4" t="s">
        <v>49</v>
      </c>
      <c r="AD4" t="s">
        <v>50</v>
      </c>
      <c r="AE4" t="s">
        <v>52</v>
      </c>
      <c r="AF4" t="s">
        <v>111</v>
      </c>
      <c r="AG4">
        <v>1</v>
      </c>
      <c r="CA4"/>
    </row>
    <row r="5" spans="1:79" x14ac:dyDescent="0.25">
      <c r="A5" s="17" t="s">
        <v>141</v>
      </c>
      <c r="B5" t="s">
        <v>115</v>
      </c>
      <c r="C5" t="s">
        <v>135</v>
      </c>
      <c r="D5" t="s">
        <v>136</v>
      </c>
      <c r="E5" t="s">
        <v>53</v>
      </c>
      <c r="F5" t="s">
        <v>127</v>
      </c>
      <c r="G5" t="s">
        <v>128</v>
      </c>
      <c r="H5" t="s">
        <v>123</v>
      </c>
      <c r="I5" t="s">
        <v>129</v>
      </c>
      <c r="J5" t="s">
        <v>53</v>
      </c>
      <c r="K5" t="s">
        <v>88</v>
      </c>
      <c r="L5" t="s">
        <v>88</v>
      </c>
      <c r="M5" t="s">
        <v>88</v>
      </c>
      <c r="N5" t="s">
        <v>88</v>
      </c>
      <c r="O5" t="s">
        <v>88</v>
      </c>
      <c r="P5" t="s">
        <v>53</v>
      </c>
      <c r="Q5" t="s">
        <v>108</v>
      </c>
      <c r="R5" t="s">
        <v>108</v>
      </c>
      <c r="S5" t="s">
        <v>108</v>
      </c>
      <c r="T5" t="s">
        <v>108</v>
      </c>
      <c r="U5" t="s">
        <v>108</v>
      </c>
      <c r="V5" t="s">
        <v>54</v>
      </c>
      <c r="W5" t="s">
        <v>55</v>
      </c>
      <c r="X5" t="s">
        <v>56</v>
      </c>
      <c r="Y5" t="s">
        <v>57</v>
      </c>
      <c r="Z5" t="s">
        <v>58</v>
      </c>
      <c r="AA5" t="s">
        <v>59</v>
      </c>
      <c r="AB5" t="s">
        <v>60</v>
      </c>
      <c r="AC5" t="s">
        <v>61</v>
      </c>
      <c r="AD5" t="s">
        <v>62</v>
      </c>
      <c r="AE5" t="s">
        <v>63</v>
      </c>
      <c r="AF5" t="s">
        <v>114</v>
      </c>
      <c r="AG5">
        <v>1</v>
      </c>
      <c r="CA5"/>
    </row>
    <row r="6" spans="1:79" x14ac:dyDescent="0.25">
      <c r="A6" s="17" t="s">
        <v>142</v>
      </c>
      <c r="B6" t="s">
        <v>115</v>
      </c>
      <c r="C6" t="s">
        <v>107</v>
      </c>
      <c r="D6" t="s">
        <v>107</v>
      </c>
      <c r="E6" t="s">
        <v>53</v>
      </c>
      <c r="F6" t="s">
        <v>127</v>
      </c>
      <c r="G6" t="s">
        <v>128</v>
      </c>
      <c r="H6" t="s">
        <v>123</v>
      </c>
      <c r="I6" t="s">
        <v>129</v>
      </c>
      <c r="J6" t="s">
        <v>53</v>
      </c>
      <c r="K6" t="s">
        <v>88</v>
      </c>
      <c r="L6" t="s">
        <v>88</v>
      </c>
      <c r="M6" t="s">
        <v>88</v>
      </c>
      <c r="N6" t="s">
        <v>88</v>
      </c>
      <c r="O6" t="s">
        <v>88</v>
      </c>
      <c r="P6" t="s">
        <v>53</v>
      </c>
      <c r="Q6" t="s">
        <v>108</v>
      </c>
      <c r="R6" t="s">
        <v>108</v>
      </c>
      <c r="S6" t="s">
        <v>108</v>
      </c>
      <c r="T6" t="s">
        <v>108</v>
      </c>
      <c r="U6" t="s">
        <v>108</v>
      </c>
      <c r="V6" t="s">
        <v>54</v>
      </c>
      <c r="W6" t="s">
        <v>55</v>
      </c>
      <c r="X6" t="s">
        <v>56</v>
      </c>
      <c r="Y6" t="s">
        <v>57</v>
      </c>
      <c r="Z6" t="s">
        <v>58</v>
      </c>
      <c r="AA6" t="s">
        <v>59</v>
      </c>
      <c r="AB6" t="s">
        <v>60</v>
      </c>
      <c r="AC6" t="s">
        <v>61</v>
      </c>
      <c r="AD6" t="s">
        <v>62</v>
      </c>
      <c r="AE6" t="s">
        <v>63</v>
      </c>
      <c r="AF6" t="s">
        <v>114</v>
      </c>
      <c r="AG6">
        <v>1</v>
      </c>
      <c r="CA6"/>
    </row>
    <row r="7" spans="1:79" x14ac:dyDescent="0.25">
      <c r="A7" s="17" t="s">
        <v>143</v>
      </c>
      <c r="B7" t="s">
        <v>117</v>
      </c>
      <c r="C7" t="s">
        <v>137</v>
      </c>
      <c r="D7" t="s">
        <v>138</v>
      </c>
      <c r="E7" t="s">
        <v>133</v>
      </c>
      <c r="F7" t="s">
        <v>20</v>
      </c>
      <c r="G7" t="s">
        <v>131</v>
      </c>
      <c r="H7" t="s">
        <v>126</v>
      </c>
      <c r="I7" t="s">
        <v>88</v>
      </c>
      <c r="J7" t="s">
        <v>133</v>
      </c>
      <c r="K7" t="s">
        <v>88</v>
      </c>
      <c r="L7" t="s">
        <v>88</v>
      </c>
      <c r="M7" t="s">
        <v>88</v>
      </c>
      <c r="N7" t="s">
        <v>88</v>
      </c>
      <c r="O7" t="s">
        <v>88</v>
      </c>
      <c r="P7" t="s">
        <v>64</v>
      </c>
      <c r="Q7" t="s">
        <v>108</v>
      </c>
      <c r="R7" t="s">
        <v>108</v>
      </c>
      <c r="S7" t="s">
        <v>108</v>
      </c>
      <c r="T7" t="s">
        <v>108</v>
      </c>
      <c r="U7" t="s">
        <v>108</v>
      </c>
      <c r="V7" t="s">
        <v>65</v>
      </c>
      <c r="W7" t="s">
        <v>67</v>
      </c>
      <c r="X7" t="s">
        <v>69</v>
      </c>
      <c r="Y7" t="s">
        <v>71</v>
      </c>
      <c r="Z7" t="s">
        <v>43</v>
      </c>
      <c r="AA7" t="s">
        <v>66</v>
      </c>
      <c r="AB7" t="s">
        <v>68</v>
      </c>
      <c r="AC7" t="s">
        <v>70</v>
      </c>
      <c r="AD7" t="s">
        <v>72</v>
      </c>
      <c r="AE7" t="s">
        <v>51</v>
      </c>
      <c r="AF7" t="s">
        <v>116</v>
      </c>
      <c r="AG7">
        <v>1</v>
      </c>
      <c r="CA7"/>
    </row>
    <row r="8" spans="1:79" x14ac:dyDescent="0.25">
      <c r="CA8"/>
    </row>
    <row r="9" spans="1:79" x14ac:dyDescent="0.25">
      <c r="CA9"/>
    </row>
    <row r="10" spans="1:79" x14ac:dyDescent="0.25">
      <c r="CA10"/>
    </row>
    <row r="11" spans="1:79" x14ac:dyDescent="0.25">
      <c r="CA11"/>
    </row>
    <row r="12" spans="1:79" x14ac:dyDescent="0.25">
      <c r="CA12"/>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4CCC4-D7AF-4C6E-819D-AC91F2CD6555}">
  <dimension ref="A1:P33"/>
  <sheetViews>
    <sheetView zoomScaleNormal="100" workbookViewId="0">
      <pane ySplit="1" topLeftCell="A22" activePane="bottomLeft" state="frozen"/>
      <selection pane="bottomLeft" activeCell="B1" sqref="B1:B1048576"/>
    </sheetView>
  </sheetViews>
  <sheetFormatPr defaultRowHeight="15" x14ac:dyDescent="0.25"/>
  <cols>
    <col min="1" max="1" width="22.85546875" bestFit="1" customWidth="1"/>
    <col min="2" max="2" width="24.5703125" style="17" customWidth="1"/>
    <col min="3" max="3" width="2.7109375" customWidth="1"/>
    <col min="4" max="6" width="20.7109375" customWidth="1"/>
    <col min="7" max="7" width="2.7109375" customWidth="1"/>
    <col min="8" max="15" width="5.7109375" customWidth="1"/>
    <col min="16" max="16" width="2.7109375" customWidth="1"/>
    <col min="17" max="17" width="21.42578125" bestFit="1" customWidth="1"/>
    <col min="18" max="18" width="21.140625" bestFit="1" customWidth="1"/>
    <col min="19" max="19" width="26.28515625" bestFit="1" customWidth="1"/>
    <col min="20" max="20" width="5.85546875" bestFit="1" customWidth="1"/>
    <col min="21" max="21" width="26.28515625" bestFit="1" customWidth="1"/>
    <col min="22" max="22" width="37.7109375" bestFit="1" customWidth="1"/>
    <col min="23" max="23" width="59.85546875" bestFit="1" customWidth="1"/>
    <col min="24" max="24" width="81.7109375" bestFit="1" customWidth="1"/>
    <col min="27" max="27" width="15.28515625" bestFit="1" customWidth="1"/>
    <col min="28" max="29" width="5.7109375" customWidth="1"/>
  </cols>
  <sheetData>
    <row r="1" spans="1:16" ht="15.75" thickBot="1" x14ac:dyDescent="0.3">
      <c r="A1" s="8" t="s">
        <v>0</v>
      </c>
      <c r="B1" s="19" t="s">
        <v>1</v>
      </c>
      <c r="C1" s="3"/>
      <c r="D1" s="7" t="s">
        <v>6</v>
      </c>
      <c r="E1" s="7" t="s">
        <v>7</v>
      </c>
      <c r="F1" s="7" t="s">
        <v>8</v>
      </c>
      <c r="G1" s="3"/>
      <c r="H1" s="10" t="s">
        <v>13</v>
      </c>
      <c r="I1" s="10" t="s">
        <v>2</v>
      </c>
      <c r="J1" s="10" t="s">
        <v>9</v>
      </c>
      <c r="K1" s="10" t="s">
        <v>3</v>
      </c>
      <c r="L1" s="10" t="s">
        <v>10</v>
      </c>
      <c r="M1" s="10" t="s">
        <v>11</v>
      </c>
      <c r="N1" s="10" t="s">
        <v>4</v>
      </c>
      <c r="O1" s="10" t="s">
        <v>5</v>
      </c>
      <c r="P1" s="3"/>
    </row>
    <row r="2" spans="1:16" ht="15.75" thickBot="1" x14ac:dyDescent="0.3">
      <c r="A2" s="1" t="s">
        <v>15</v>
      </c>
      <c r="B2" s="17" t="str">
        <f>IF(F3="","",F3)</f>
        <v>The Ruler</v>
      </c>
      <c r="D2" s="11" t="s">
        <v>12</v>
      </c>
      <c r="E2" s="11"/>
      <c r="F2" s="11"/>
    </row>
    <row r="3" spans="1:16" x14ac:dyDescent="0.25">
      <c r="A3" s="1" t="s">
        <v>75</v>
      </c>
      <c r="B3" s="17" t="str">
        <f>IF(F4="","",F4)</f>
        <v>Premier</v>
      </c>
      <c r="D3" s="14"/>
      <c r="E3" s="12" t="s">
        <v>15</v>
      </c>
      <c r="F3" s="4" t="s">
        <v>110</v>
      </c>
      <c r="K3" s="2">
        <f>K4-K5</f>
        <v>1</v>
      </c>
    </row>
    <row r="4" spans="1:16" x14ac:dyDescent="0.25">
      <c r="A4" s="1" t="s">
        <v>17</v>
      </c>
      <c r="B4" s="17" t="str">
        <f>IF(F5="","",F5)</f>
        <v>Eve Lockridge</v>
      </c>
      <c r="D4" s="14"/>
      <c r="E4" s="12" t="s">
        <v>75</v>
      </c>
      <c r="F4" s="4" t="s">
        <v>16</v>
      </c>
      <c r="K4" s="16">
        <v>1</v>
      </c>
    </row>
    <row r="5" spans="1:16" x14ac:dyDescent="0.25">
      <c r="A5" s="1" t="s">
        <v>90</v>
      </c>
      <c r="B5" s="17" t="str">
        <f t="shared" ref="B5:B10" si="0">IF(F9="","",F9)</f>
        <v>Government House</v>
      </c>
      <c r="D5" s="14"/>
      <c r="E5" s="12" t="s">
        <v>17</v>
      </c>
      <c r="F5" s="4" t="s">
        <v>18</v>
      </c>
      <c r="K5" s="5">
        <f>K8</f>
        <v>0</v>
      </c>
    </row>
    <row r="6" spans="1:16" x14ac:dyDescent="0.25">
      <c r="A6" s="1" t="s">
        <v>76</v>
      </c>
      <c r="B6" s="17" t="str">
        <f t="shared" si="0"/>
        <v>Safe Place</v>
      </c>
    </row>
    <row r="7" spans="1:16" x14ac:dyDescent="0.25">
      <c r="A7" s="1" t="s">
        <v>77</v>
      </c>
      <c r="B7" s="17" t="str">
        <f t="shared" si="0"/>
        <v>Haven</v>
      </c>
    </row>
    <row r="8" spans="1:16" ht="15.75" thickBot="1" x14ac:dyDescent="0.3">
      <c r="A8" s="1" t="s">
        <v>79</v>
      </c>
      <c r="B8" s="17" t="str">
        <f t="shared" si="0"/>
        <v>Staff</v>
      </c>
      <c r="D8" s="11" t="s">
        <v>19</v>
      </c>
      <c r="E8" s="11"/>
      <c r="F8" s="11"/>
      <c r="K8" s="2">
        <f>SUM(K10:K14,K17)</f>
        <v>0</v>
      </c>
    </row>
    <row r="9" spans="1:16" x14ac:dyDescent="0.25">
      <c r="A9" s="1" t="s">
        <v>78</v>
      </c>
      <c r="B9" s="17" t="str">
        <f t="shared" si="0"/>
        <v>Resources</v>
      </c>
      <c r="D9" s="13"/>
      <c r="E9" s="12" t="s">
        <v>26</v>
      </c>
      <c r="F9" s="5" t="str">
        <f>VLOOKUP(F3,tblMerits[],3,FALSE)</f>
        <v>Government House</v>
      </c>
      <c r="K9" s="2"/>
    </row>
    <row r="10" spans="1:16" x14ac:dyDescent="0.25">
      <c r="A10" s="1" t="s">
        <v>80</v>
      </c>
      <c r="B10" s="17" t="str">
        <f t="shared" si="0"/>
        <v>Government House</v>
      </c>
      <c r="D10" s="13"/>
      <c r="E10" s="12" t="s">
        <v>81</v>
      </c>
      <c r="F10" s="5" t="str">
        <f>VLOOKUP(F3,tblMerits[],4,FALSE)</f>
        <v>Safe Place</v>
      </c>
      <c r="K10" s="4"/>
      <c r="L10" s="5">
        <f>K10</f>
        <v>0</v>
      </c>
      <c r="M10" s="2">
        <f>SUM(I10,L10)</f>
        <v>0</v>
      </c>
      <c r="O10" s="5">
        <v>5</v>
      </c>
    </row>
    <row r="11" spans="1:16" x14ac:dyDescent="0.25">
      <c r="A11" s="1" t="s">
        <v>82</v>
      </c>
      <c r="B11" s="17" t="str">
        <f>IF(OR(M10=0,M10=""),"-",REPT("●",M10))</f>
        <v>-</v>
      </c>
      <c r="D11" s="13"/>
      <c r="E11" s="12" t="s">
        <v>81</v>
      </c>
      <c r="F11" s="5" t="str">
        <f>VLOOKUP(F3,tblMerits[],5,FALSE)</f>
        <v>Haven</v>
      </c>
      <c r="K11" s="4"/>
      <c r="L11" s="5">
        <f>K11</f>
        <v>0</v>
      </c>
      <c r="M11" s="2">
        <f>SUM(I11,L11)</f>
        <v>0</v>
      </c>
      <c r="O11" s="5">
        <v>5</v>
      </c>
    </row>
    <row r="12" spans="1:16" x14ac:dyDescent="0.25">
      <c r="A12" s="1" t="s">
        <v>83</v>
      </c>
      <c r="B12" s="17" t="str">
        <f t="shared" ref="B12:B15" si="1">IF(OR(M11=0,M11=""),"-",REPT("●",M11))</f>
        <v>-</v>
      </c>
      <c r="D12" s="13"/>
      <c r="E12" s="12" t="s">
        <v>81</v>
      </c>
      <c r="F12" s="5" t="str">
        <f>VLOOKUP(F3,tblMerits[],6,FALSE)</f>
        <v>Staff</v>
      </c>
      <c r="K12" s="4"/>
      <c r="L12" s="5">
        <f>K12</f>
        <v>0</v>
      </c>
      <c r="M12" s="2">
        <f>SUM(I12,L12)</f>
        <v>0</v>
      </c>
      <c r="O12" s="5">
        <v>5</v>
      </c>
    </row>
    <row r="13" spans="1:16" x14ac:dyDescent="0.25">
      <c r="A13" s="1" t="s">
        <v>84</v>
      </c>
      <c r="B13" s="17" t="str">
        <f t="shared" si="1"/>
        <v>-</v>
      </c>
      <c r="D13" s="13"/>
      <c r="E13" s="12" t="s">
        <v>81</v>
      </c>
      <c r="F13" s="5" t="str">
        <f>VLOOKUP(F3,tblMerits[],7,FALSE)</f>
        <v>Resources</v>
      </c>
      <c r="K13" s="4"/>
      <c r="L13" s="5">
        <f>K13</f>
        <v>0</v>
      </c>
      <c r="M13" s="2">
        <f>SUM(I13,L13)</f>
        <v>0</v>
      </c>
      <c r="O13" s="5">
        <v>5</v>
      </c>
    </row>
    <row r="14" spans="1:16" x14ac:dyDescent="0.25">
      <c r="A14" s="1" t="s">
        <v>85</v>
      </c>
      <c r="B14" s="17" t="str">
        <f t="shared" si="1"/>
        <v>-</v>
      </c>
      <c r="D14" s="13"/>
      <c r="E14" s="12" t="s">
        <v>81</v>
      </c>
      <c r="F14" s="5" t="str">
        <f>VLOOKUP(F3,tblMerits[],3,FALSE)</f>
        <v>Government House</v>
      </c>
      <c r="K14" s="4"/>
      <c r="L14" s="5">
        <f>K14</f>
        <v>0</v>
      </c>
      <c r="M14" s="2">
        <f>SUM(I14,L14)</f>
        <v>0</v>
      </c>
      <c r="O14" s="5">
        <v>5</v>
      </c>
    </row>
    <row r="15" spans="1:16" x14ac:dyDescent="0.25">
      <c r="A15" s="1" t="s">
        <v>86</v>
      </c>
      <c r="B15" s="17" t="str">
        <f t="shared" si="1"/>
        <v>-</v>
      </c>
    </row>
    <row r="16" spans="1:16" ht="15.75" thickBot="1" x14ac:dyDescent="0.3">
      <c r="A16" s="1" t="s">
        <v>101</v>
      </c>
      <c r="B16" s="17" t="str">
        <f>IF(F17="","",F17)</f>
        <v>First Among Equals</v>
      </c>
      <c r="D16" s="11" t="s">
        <v>25</v>
      </c>
      <c r="E16" s="11"/>
      <c r="F16" s="11"/>
    </row>
    <row r="17" spans="1:15" x14ac:dyDescent="0.25">
      <c r="A17" s="1" t="s">
        <v>96</v>
      </c>
      <c r="B17" s="17" t="str">
        <f>IF($M$17&gt;=1,"●", "○")</f>
        <v>○</v>
      </c>
      <c r="D17" s="13"/>
      <c r="E17" s="12" t="s">
        <v>26</v>
      </c>
      <c r="F17" s="5" t="str">
        <f>VLOOKUP(F3,tblMerits[],9,FALSE)</f>
        <v>First Among Equals</v>
      </c>
      <c r="K17" s="4"/>
      <c r="L17" s="5">
        <f>K17</f>
        <v>0</v>
      </c>
      <c r="M17" s="2">
        <f>SUM(I17,L17)</f>
        <v>0</v>
      </c>
      <c r="O17" s="5">
        <v>5</v>
      </c>
    </row>
    <row r="18" spans="1:15" x14ac:dyDescent="0.25">
      <c r="A18" s="1" t="s">
        <v>97</v>
      </c>
      <c r="B18" s="17" t="str">
        <f>IF($M$17&gt;=2,"●", "○")</f>
        <v>○</v>
      </c>
      <c r="D18" s="12">
        <v>1</v>
      </c>
      <c r="E18" s="14"/>
      <c r="F18" s="5" t="str" cm="1">
        <f t="array" ref="F18:F22">_xlfn._xlws.FILTER(tblManoeuvres[Manoeuvre], tblManoeuvres[Style]=F17)</f>
        <v>Due Diligence</v>
      </c>
    </row>
    <row r="19" spans="1:15" x14ac:dyDescent="0.25">
      <c r="A19" s="1" t="s">
        <v>98</v>
      </c>
      <c r="B19" s="17" t="str">
        <f>IF($M$17&gt;=3,"●", "○")</f>
        <v>○</v>
      </c>
      <c r="D19" s="12">
        <v>2</v>
      </c>
      <c r="E19" s="14"/>
      <c r="F19" s="5" t="str">
        <v>Call in a Favour</v>
      </c>
    </row>
    <row r="20" spans="1:15" x14ac:dyDescent="0.25">
      <c r="A20" s="1" t="s">
        <v>99</v>
      </c>
      <c r="B20" s="17" t="str">
        <f>IF($M$17&gt;=4,"●", "○")</f>
        <v>○</v>
      </c>
      <c r="D20" s="12">
        <v>3</v>
      </c>
      <c r="E20" s="14"/>
      <c r="F20" s="5" t="str">
        <v>Open Door Policy</v>
      </c>
    </row>
    <row r="21" spans="1:15" x14ac:dyDescent="0.25">
      <c r="A21" s="1" t="s">
        <v>100</v>
      </c>
      <c r="B21" s="17" t="str">
        <f>IF($M$17&gt;=5,"●", "○")</f>
        <v>○</v>
      </c>
      <c r="D21" s="12">
        <v>4</v>
      </c>
      <c r="E21" s="14"/>
      <c r="F21" s="5" t="str">
        <v>Willing Coalition</v>
      </c>
    </row>
    <row r="22" spans="1:15" x14ac:dyDescent="0.25">
      <c r="A22" s="1" t="s">
        <v>91</v>
      </c>
      <c r="B22" s="17" t="str">
        <f>IF(F18="","",F18)</f>
        <v>Due Diligence</v>
      </c>
      <c r="D22" s="12">
        <v>5</v>
      </c>
      <c r="E22" s="14"/>
      <c r="F22" s="5" t="str">
        <v>Executive Order</v>
      </c>
    </row>
    <row r="23" spans="1:15" x14ac:dyDescent="0.25">
      <c r="A23" s="1" t="s">
        <v>92</v>
      </c>
      <c r="B23" s="17" t="str">
        <f t="shared" ref="B23:B26" si="2">IF(F19="","",F19)</f>
        <v>Call in a Favour</v>
      </c>
    </row>
    <row r="24" spans="1:15" x14ac:dyDescent="0.25">
      <c r="A24" s="1" t="s">
        <v>93</v>
      </c>
      <c r="B24" s="17" t="str">
        <f t="shared" si="2"/>
        <v>Open Door Policy</v>
      </c>
    </row>
    <row r="25" spans="1:15" x14ac:dyDescent="0.25">
      <c r="A25" s="1" t="s">
        <v>94</v>
      </c>
      <c r="B25" s="17" t="str">
        <f t="shared" si="2"/>
        <v>Willing Coalition</v>
      </c>
    </row>
    <row r="26" spans="1:15" x14ac:dyDescent="0.25">
      <c r="A26" s="1" t="s">
        <v>95</v>
      </c>
      <c r="B26" s="17" t="str">
        <f t="shared" si="2"/>
        <v>Executive Order</v>
      </c>
    </row>
    <row r="27" spans="1:15" x14ac:dyDescent="0.25">
      <c r="A27" s="1" t="s">
        <v>102</v>
      </c>
      <c r="B27" s="17" t="str">
        <f>VLOOKUP(B22,tblManoeuvres[],4,FALSE)</f>
        <v>Spend 1 Influence to learn the number of Doors for a target.</v>
      </c>
    </row>
    <row r="28" spans="1:15" x14ac:dyDescent="0.25">
      <c r="A28" s="1" t="s">
        <v>103</v>
      </c>
      <c r="B28" s="17" t="str">
        <f>VLOOKUP(B23,tblManoeuvres[],4,FALSE)</f>
        <v>Spend 1 Influence instead of 1 Willpower to add +3 to a social contest.</v>
      </c>
    </row>
    <row r="29" spans="1:15" x14ac:dyDescent="0.25">
      <c r="A29" s="1" t="s">
        <v>104</v>
      </c>
      <c r="B29" s="17" t="str">
        <f>VLOOKUP(B24,tblManoeuvres[],4,FALSE)</f>
        <v>Spend 1 Influence to remove a Door. May only be used once per instance of Social Manoeuvring.</v>
      </c>
    </row>
    <row r="30" spans="1:15" x14ac:dyDescent="0.25">
      <c r="A30" s="1" t="s">
        <v>105</v>
      </c>
      <c r="B30" s="17" t="str">
        <f>VLOOKUP(B25,tblManoeuvres[],4,FALSE)</f>
        <v>Spend 1 Influence to add Clan Status to Covenant Status or vice versa for a relevant social contest.</v>
      </c>
    </row>
    <row r="31" spans="1:15" x14ac:dyDescent="0.25">
      <c r="A31" s="1" t="s">
        <v>106</v>
      </c>
      <c r="B31" s="17" t="str">
        <f>VLOOKUP(B26,tblManoeuvres[],4,FALSE)</f>
        <v>Spend 1 Influence to declare a ruling or pronouncement. The target chooses between compliance or a Condition of the Storyteller's choice.</v>
      </c>
    </row>
    <row r="32" spans="1:15" x14ac:dyDescent="0.25">
      <c r="A32" s="1" t="s">
        <v>121</v>
      </c>
      <c r="B32" s="17" t="str">
        <f>VLOOKUP(B2,tblMerits[],2,FALSE)</f>
        <v>Each session, you can raise or lower another's City Status by 1.
You can do this a number of times per session equal to your own Effective City Status.
You cannot raise or lower the same character more than once per session (but you can coordinate with your Socialite or other Court roles to stack changes).
You can strip a character's last dot of City Status, casting them out of the domain. You can grant the first dot of City Status to newcomers at no cost.
Your decisions should be grounded in the City Deeds on the back of this sheet. If you can't justify a Status change, others will be justified in dropping yours.</v>
      </c>
    </row>
    <row r="33" spans="1:2" x14ac:dyDescent="0.25">
      <c r="A33" s="1" t="s">
        <v>3</v>
      </c>
      <c r="B33" s="17">
        <f>IF(K3="","",K3)</f>
        <v>1</v>
      </c>
    </row>
  </sheetData>
  <phoneticPr fontId="1" type="noConversion"/>
  <pageMargins left="0.7" right="0.7" top="0.75" bottom="0.75" header="0.3" footer="0.3"/>
  <pageSetup paperSize="9" orientation="portrait" horizontalDpi="0" verticalDpi="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CED94-07B7-48AF-A153-C7F27674E1AE}">
  <dimension ref="A1:P33"/>
  <sheetViews>
    <sheetView zoomScaleNormal="100" workbookViewId="0">
      <pane ySplit="1" topLeftCell="A13" activePane="bottomLeft" state="frozen"/>
      <selection pane="bottomLeft" activeCell="A33" sqref="A33:B33"/>
    </sheetView>
  </sheetViews>
  <sheetFormatPr defaultRowHeight="15" x14ac:dyDescent="0.25"/>
  <cols>
    <col min="1" max="1" width="22.85546875" bestFit="1" customWidth="1"/>
    <col min="2" max="2" width="24.5703125" style="17" customWidth="1"/>
    <col min="3" max="3" width="2.7109375" customWidth="1"/>
    <col min="4" max="6" width="20.7109375" customWidth="1"/>
    <col min="7" max="7" width="2.7109375" customWidth="1"/>
    <col min="8" max="15" width="5.7109375" customWidth="1"/>
    <col min="16" max="16" width="2.7109375" customWidth="1"/>
    <col min="17" max="17" width="21.42578125" bestFit="1" customWidth="1"/>
    <col min="18" max="18" width="21.140625" bestFit="1" customWidth="1"/>
    <col min="19" max="19" width="26.28515625" bestFit="1" customWidth="1"/>
    <col min="20" max="20" width="5.85546875" bestFit="1" customWidth="1"/>
    <col min="21" max="21" width="26.28515625" bestFit="1" customWidth="1"/>
    <col min="22" max="22" width="37.7109375" bestFit="1" customWidth="1"/>
    <col min="23" max="23" width="59.85546875" bestFit="1" customWidth="1"/>
    <col min="24" max="24" width="81.7109375" bestFit="1" customWidth="1"/>
    <col min="27" max="27" width="15.28515625" bestFit="1" customWidth="1"/>
    <col min="28" max="29" width="5.7109375" customWidth="1"/>
  </cols>
  <sheetData>
    <row r="1" spans="1:16" ht="15.75" thickBot="1" x14ac:dyDescent="0.3">
      <c r="A1" s="8" t="s">
        <v>0</v>
      </c>
      <c r="B1" s="19" t="s">
        <v>1</v>
      </c>
      <c r="C1" s="3"/>
      <c r="D1" s="7" t="s">
        <v>6</v>
      </c>
      <c r="E1" s="7" t="s">
        <v>7</v>
      </c>
      <c r="F1" s="7" t="s">
        <v>8</v>
      </c>
      <c r="G1" s="3"/>
      <c r="H1" s="10" t="s">
        <v>13</v>
      </c>
      <c r="I1" s="10" t="s">
        <v>2</v>
      </c>
      <c r="J1" s="10" t="s">
        <v>9</v>
      </c>
      <c r="K1" s="10" t="s">
        <v>3</v>
      </c>
      <c r="L1" s="10" t="s">
        <v>10</v>
      </c>
      <c r="M1" s="10" t="s">
        <v>11</v>
      </c>
      <c r="N1" s="10" t="s">
        <v>4</v>
      </c>
      <c r="O1" s="10" t="s">
        <v>5</v>
      </c>
      <c r="P1" s="3"/>
    </row>
    <row r="2" spans="1:16" ht="15.75" thickBot="1" x14ac:dyDescent="0.3">
      <c r="A2" s="1" t="s">
        <v>15</v>
      </c>
      <c r="B2" s="17" t="str">
        <f>IF(F3="","",F3)</f>
        <v>The Primogen</v>
      </c>
      <c r="D2" s="11" t="s">
        <v>12</v>
      </c>
      <c r="E2" s="11"/>
      <c r="F2" s="11"/>
    </row>
    <row r="3" spans="1:16" x14ac:dyDescent="0.25">
      <c r="A3" s="1" t="s">
        <v>75</v>
      </c>
      <c r="B3" s="17" t="str">
        <f>IF(F4="","",F4)</f>
        <v>Primogen</v>
      </c>
      <c r="D3" s="14"/>
      <c r="E3" s="12" t="s">
        <v>15</v>
      </c>
      <c r="F3" s="4" t="s">
        <v>113</v>
      </c>
      <c r="K3" s="2">
        <f>K4-K5</f>
        <v>1</v>
      </c>
    </row>
    <row r="4" spans="1:16" x14ac:dyDescent="0.25">
      <c r="A4" s="1" t="s">
        <v>17</v>
      </c>
      <c r="B4" s="17" t="str">
        <f>IF(F5="","",F5)</f>
        <v>Rene St Dominique</v>
      </c>
      <c r="D4" s="14"/>
      <c r="E4" s="12" t="s">
        <v>75</v>
      </c>
      <c r="F4" s="4" t="s">
        <v>112</v>
      </c>
      <c r="K4" s="16">
        <v>1</v>
      </c>
    </row>
    <row r="5" spans="1:16" x14ac:dyDescent="0.25">
      <c r="A5" s="1" t="s">
        <v>90</v>
      </c>
      <c r="B5" s="17" t="str">
        <f t="shared" ref="B5:B10" si="0">IF(F9="","",F9)</f>
        <v>Chains of Office</v>
      </c>
      <c r="D5" s="14"/>
      <c r="E5" s="12" t="s">
        <v>17</v>
      </c>
      <c r="F5" s="4" t="s">
        <v>122</v>
      </c>
      <c r="K5" s="5">
        <f>K8</f>
        <v>0</v>
      </c>
    </row>
    <row r="6" spans="1:16" x14ac:dyDescent="0.25">
      <c r="A6" s="1" t="s">
        <v>76</v>
      </c>
      <c r="B6" s="17" t="str">
        <f t="shared" si="0"/>
        <v>Contacts</v>
      </c>
    </row>
    <row r="7" spans="1:16" x14ac:dyDescent="0.25">
      <c r="A7" s="1" t="s">
        <v>77</v>
      </c>
      <c r="B7" s="17" t="str">
        <f t="shared" si="0"/>
        <v>Closed Book</v>
      </c>
    </row>
    <row r="8" spans="1:16" ht="15.75" thickBot="1" x14ac:dyDescent="0.3">
      <c r="A8" s="1" t="s">
        <v>79</v>
      </c>
      <c r="B8" s="17" t="str">
        <f t="shared" si="0"/>
        <v>Staff</v>
      </c>
      <c r="D8" s="11" t="s">
        <v>19</v>
      </c>
      <c r="E8" s="11"/>
      <c r="F8" s="11"/>
      <c r="K8" s="2">
        <f>SUM(K10:K14,K17)</f>
        <v>0</v>
      </c>
    </row>
    <row r="9" spans="1:16" x14ac:dyDescent="0.25">
      <c r="A9" s="1" t="s">
        <v>78</v>
      </c>
      <c r="B9" s="17" t="str">
        <f t="shared" si="0"/>
        <v>Retainer</v>
      </c>
      <c r="D9" s="13"/>
      <c r="E9" s="12" t="s">
        <v>26</v>
      </c>
      <c r="F9" s="5" t="str">
        <f>VLOOKUP(F3,tblMerits[],3,FALSE)</f>
        <v>Chains of Office</v>
      </c>
      <c r="K9" s="2"/>
    </row>
    <row r="10" spans="1:16" x14ac:dyDescent="0.25">
      <c r="A10" s="1" t="s">
        <v>80</v>
      </c>
      <c r="B10" s="17" t="str">
        <f t="shared" si="0"/>
        <v>Chains of Office</v>
      </c>
      <c r="D10" s="13"/>
      <c r="E10" s="12" t="s">
        <v>81</v>
      </c>
      <c r="F10" s="5" t="str">
        <f>VLOOKUP(F3,tblMerits[],4,FALSE)</f>
        <v>Contacts</v>
      </c>
      <c r="K10" s="4"/>
      <c r="L10" s="5">
        <f>K10</f>
        <v>0</v>
      </c>
      <c r="M10" s="2">
        <f>SUM(I10,L10)</f>
        <v>0</v>
      </c>
      <c r="O10" s="5">
        <v>5</v>
      </c>
    </row>
    <row r="11" spans="1:16" x14ac:dyDescent="0.25">
      <c r="A11" s="1" t="s">
        <v>82</v>
      </c>
      <c r="B11" s="17" t="str">
        <f>IF(OR(M10=0,M10=""),"-",REPT("●",M10))</f>
        <v>-</v>
      </c>
      <c r="D11" s="13"/>
      <c r="E11" s="12" t="s">
        <v>81</v>
      </c>
      <c r="F11" s="5" t="str">
        <f>VLOOKUP(F3,tblMerits[],5,FALSE)</f>
        <v>Closed Book</v>
      </c>
      <c r="K11" s="4"/>
      <c r="L11" s="5">
        <f>K11</f>
        <v>0</v>
      </c>
      <c r="M11" s="2">
        <f>SUM(I11,L11)</f>
        <v>0</v>
      </c>
      <c r="O11" s="5">
        <v>5</v>
      </c>
    </row>
    <row r="12" spans="1:16" x14ac:dyDescent="0.25">
      <c r="A12" s="1" t="s">
        <v>83</v>
      </c>
      <c r="B12" s="17" t="str">
        <f t="shared" ref="B12:B15" si="1">IF(OR(M11=0,M11=""),"-",REPT("●",M11))</f>
        <v>-</v>
      </c>
      <c r="D12" s="13"/>
      <c r="E12" s="12" t="s">
        <v>81</v>
      </c>
      <c r="F12" s="5" t="str">
        <f>VLOOKUP(F3,tblMerits[],6,FALSE)</f>
        <v>Staff</v>
      </c>
      <c r="K12" s="4"/>
      <c r="L12" s="5">
        <f>K12</f>
        <v>0</v>
      </c>
      <c r="M12" s="2">
        <f>SUM(I12,L12)</f>
        <v>0</v>
      </c>
      <c r="O12" s="5">
        <v>5</v>
      </c>
    </row>
    <row r="13" spans="1:16" x14ac:dyDescent="0.25">
      <c r="A13" s="1" t="s">
        <v>84</v>
      </c>
      <c r="B13" s="17" t="str">
        <f t="shared" si="1"/>
        <v>-</v>
      </c>
      <c r="D13" s="13"/>
      <c r="E13" s="12" t="s">
        <v>81</v>
      </c>
      <c r="F13" s="5" t="str">
        <f>VLOOKUP(F3,tblMerits[],7,FALSE)</f>
        <v>Retainer</v>
      </c>
      <c r="K13" s="4"/>
      <c r="L13" s="5">
        <f>K13</f>
        <v>0</v>
      </c>
      <c r="M13" s="2">
        <f>SUM(I13,L13)</f>
        <v>0</v>
      </c>
      <c r="O13" s="5">
        <v>5</v>
      </c>
    </row>
    <row r="14" spans="1:16" x14ac:dyDescent="0.25">
      <c r="A14" s="1" t="s">
        <v>85</v>
      </c>
      <c r="B14" s="17" t="str">
        <f t="shared" si="1"/>
        <v>-</v>
      </c>
      <c r="D14" s="13"/>
      <c r="E14" s="12" t="s">
        <v>81</v>
      </c>
      <c r="F14" s="5" t="str">
        <f>VLOOKUP(F3,tblMerits[],3,FALSE)</f>
        <v>Chains of Office</v>
      </c>
      <c r="K14" s="4"/>
      <c r="L14" s="5">
        <f>K14</f>
        <v>0</v>
      </c>
      <c r="M14" s="2">
        <f>SUM(I14,L14)</f>
        <v>0</v>
      </c>
      <c r="O14" s="5">
        <v>5</v>
      </c>
    </row>
    <row r="15" spans="1:16" x14ac:dyDescent="0.25">
      <c r="A15" s="1" t="s">
        <v>86</v>
      </c>
      <c r="B15" s="17" t="str">
        <f t="shared" si="1"/>
        <v>-</v>
      </c>
    </row>
    <row r="16" spans="1:16" ht="15.75" thickBot="1" x14ac:dyDescent="0.3">
      <c r="A16" s="1" t="s">
        <v>101</v>
      </c>
      <c r="B16" s="17" t="str">
        <f>IF(F17="","",F17)</f>
        <v>Balance of Power</v>
      </c>
      <c r="D16" s="11" t="s">
        <v>25</v>
      </c>
      <c r="E16" s="11"/>
      <c r="F16" s="11"/>
    </row>
    <row r="17" spans="1:15" x14ac:dyDescent="0.25">
      <c r="A17" s="1" t="s">
        <v>96</v>
      </c>
      <c r="B17" s="17" t="str">
        <f>IF($M$17&gt;=1,"●", "○")</f>
        <v>○</v>
      </c>
      <c r="D17" s="13"/>
      <c r="E17" s="12" t="s">
        <v>26</v>
      </c>
      <c r="F17" s="5" t="str">
        <f>VLOOKUP(F3,tblMerits[],9,FALSE)</f>
        <v>Balance of Power</v>
      </c>
      <c r="K17" s="4"/>
      <c r="L17" s="5">
        <f>K17</f>
        <v>0</v>
      </c>
      <c r="M17" s="2">
        <f>SUM(I17,L17)</f>
        <v>0</v>
      </c>
      <c r="O17" s="5">
        <v>5</v>
      </c>
    </row>
    <row r="18" spans="1:15" x14ac:dyDescent="0.25">
      <c r="A18" s="1" t="s">
        <v>97</v>
      </c>
      <c r="B18" s="17" t="str">
        <f>IF($M$17&gt;=2,"●", "○")</f>
        <v>○</v>
      </c>
      <c r="D18" s="12">
        <v>1</v>
      </c>
      <c r="E18" s="14"/>
      <c r="F18" s="5" t="str" cm="1">
        <f t="array" ref="F18:F22">_xlfn._xlws.FILTER(tblManoeuvres[Manoeuvre], tblManoeuvres[Style]=F17)</f>
        <v>Neighbourhood Watch</v>
      </c>
    </row>
    <row r="19" spans="1:15" x14ac:dyDescent="0.25">
      <c r="A19" s="1" t="s">
        <v>98</v>
      </c>
      <c r="B19" s="17" t="str">
        <f>IF($M$17&gt;=3,"●", "○")</f>
        <v>○</v>
      </c>
      <c r="D19" s="12">
        <v>2</v>
      </c>
      <c r="E19" s="14"/>
      <c r="F19" s="5" t="str">
        <v>Freedom of Information</v>
      </c>
    </row>
    <row r="20" spans="1:15" x14ac:dyDescent="0.25">
      <c r="A20" s="1" t="s">
        <v>99</v>
      </c>
      <c r="B20" s="17" t="str">
        <f>IF($M$17&gt;=4,"●", "○")</f>
        <v>○</v>
      </c>
      <c r="D20" s="12">
        <v>3</v>
      </c>
      <c r="E20" s="14"/>
      <c r="F20" s="5" t="str">
        <v>Show of Hands</v>
      </c>
    </row>
    <row r="21" spans="1:15" x14ac:dyDescent="0.25">
      <c r="A21" s="1" t="s">
        <v>100</v>
      </c>
      <c r="B21" s="17" t="str">
        <f>IF($M$17&gt;=5,"●", "○")</f>
        <v>○</v>
      </c>
      <c r="D21" s="12">
        <v>4</v>
      </c>
      <c r="E21" s="14"/>
      <c r="F21" s="5" t="str">
        <v>Pull Rank</v>
      </c>
    </row>
    <row r="22" spans="1:15" x14ac:dyDescent="0.25">
      <c r="A22" s="1" t="s">
        <v>91</v>
      </c>
      <c r="B22" s="17" t="str">
        <f>IF(F18="","",F18)</f>
        <v>Neighbourhood Watch</v>
      </c>
      <c r="D22" s="12">
        <v>5</v>
      </c>
      <c r="E22" s="14"/>
      <c r="F22" s="5" t="str">
        <v>Veto</v>
      </c>
    </row>
    <row r="23" spans="1:15" x14ac:dyDescent="0.25">
      <c r="A23" s="1" t="s">
        <v>92</v>
      </c>
      <c r="B23" s="17" t="str">
        <f t="shared" ref="B23:B26" si="2">IF(F19="","",F19)</f>
        <v>Freedom of Information</v>
      </c>
    </row>
    <row r="24" spans="1:15" x14ac:dyDescent="0.25">
      <c r="A24" s="1" t="s">
        <v>93</v>
      </c>
      <c r="B24" s="17" t="str">
        <f t="shared" si="2"/>
        <v>Show of Hands</v>
      </c>
    </row>
    <row r="25" spans="1:15" x14ac:dyDescent="0.25">
      <c r="A25" s="1" t="s">
        <v>94</v>
      </c>
      <c r="B25" s="17" t="str">
        <f t="shared" si="2"/>
        <v>Pull Rank</v>
      </c>
    </row>
    <row r="26" spans="1:15" x14ac:dyDescent="0.25">
      <c r="A26" s="1" t="s">
        <v>95</v>
      </c>
      <c r="B26" s="17" t="str">
        <f t="shared" si="2"/>
        <v>Veto</v>
      </c>
    </row>
    <row r="27" spans="1:15" x14ac:dyDescent="0.25">
      <c r="A27" s="1" t="s">
        <v>102</v>
      </c>
      <c r="B27" s="17" t="str">
        <f>VLOOKUP(B22,tblManoeuvres[],4,FALSE)</f>
        <v>Spend 1 Influence to learn the Clan and Covenant status of another Kindred at Court.</v>
      </c>
    </row>
    <row r="28" spans="1:15" x14ac:dyDescent="0.25">
      <c r="A28" s="1" t="s">
        <v>103</v>
      </c>
      <c r="B28" s="17" t="str">
        <f>VLOOKUP(B23,tblManoeuvres[],4,FALSE)</f>
        <v>Spend 1 Influence to have a look at the Position sheet of any one Position in play.</v>
      </c>
    </row>
    <row r="29" spans="1:15" x14ac:dyDescent="0.25">
      <c r="A29" s="1" t="s">
        <v>104</v>
      </c>
      <c r="B29" s="17" t="str">
        <f>VLOOKUP(B24,tblManoeuvres[],4,FALSE)</f>
        <v>Spend 1 Influence to have a peek in a bidding box.</v>
      </c>
    </row>
    <row r="30" spans="1:15" x14ac:dyDescent="0.25">
      <c r="A30" s="1" t="s">
        <v>105</v>
      </c>
      <c r="B30" s="17" t="str">
        <f>VLOOKUP(B25,tblManoeuvres[],4,FALSE)</f>
        <v>Spend 1 Influence to add +1 to your City Status for one interaction.</v>
      </c>
    </row>
    <row r="31" spans="1:15" x14ac:dyDescent="0.25">
      <c r="A31" s="1" t="s">
        <v>106</v>
      </c>
      <c r="B31" s="17" t="str">
        <f>VLOOKUP(B26,tblManoeuvres[],4,FALSE)</f>
        <v xml:space="preserve">Spend 1 Influence to block a manoeuvre from any Position, provided they have less City Status than you. </v>
      </c>
    </row>
    <row r="32" spans="1:15" x14ac:dyDescent="0.25">
      <c r="A32" s="1" t="s">
        <v>121</v>
      </c>
      <c r="B32" s="17" t="str">
        <f>VLOOKUP(B2,tblMerits[],2,FALSE)</f>
        <v>Each session, you can raise or lower another character's City Status by 1, once.
You may permanently sacrifice one of your own City Status dots to make a second Status change in the same session.
You cannot affect your own City Status.
Your decisions should be grounded in the City Deeds on the back of this sheet. If you can't justify a Status change, others will be justified in dropping yours.</v>
      </c>
    </row>
    <row r="33" spans="1:2" x14ac:dyDescent="0.25">
      <c r="A33" s="1" t="s">
        <v>3</v>
      </c>
      <c r="B33" s="17">
        <f>IF(K3="","",K3)</f>
        <v>1</v>
      </c>
    </row>
  </sheetData>
  <pageMargins left="0.7" right="0.7" top="0.75" bottom="0.75" header="0.3" footer="0.3"/>
  <pageSetup paperSize="9" orientation="portrait" horizontalDpi="0" verticalDpi="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A0504-4ADF-48E9-B4F8-1366A5180372}">
  <dimension ref="A1:P33"/>
  <sheetViews>
    <sheetView zoomScaleNormal="100" workbookViewId="0">
      <pane ySplit="1" topLeftCell="A19" activePane="bottomLeft" state="frozen"/>
      <selection pane="bottomLeft" activeCell="B1" sqref="B1:B1048576"/>
    </sheetView>
  </sheetViews>
  <sheetFormatPr defaultRowHeight="15" x14ac:dyDescent="0.25"/>
  <cols>
    <col min="1" max="1" width="22.85546875" bestFit="1" customWidth="1"/>
    <col min="2" max="2" width="24.5703125" style="17" customWidth="1"/>
    <col min="3" max="3" width="2.7109375" customWidth="1"/>
    <col min="4" max="6" width="20.7109375" customWidth="1"/>
    <col min="7" max="7" width="2.7109375" customWidth="1"/>
    <col min="8" max="15" width="5.7109375" customWidth="1"/>
    <col min="16" max="16" width="2.7109375" customWidth="1"/>
    <col min="17" max="17" width="21.42578125" bestFit="1" customWidth="1"/>
    <col min="18" max="18" width="21.140625" bestFit="1" customWidth="1"/>
    <col min="19" max="19" width="26.28515625" bestFit="1" customWidth="1"/>
    <col min="20" max="20" width="5.85546875" bestFit="1" customWidth="1"/>
    <col min="21" max="21" width="26.28515625" bestFit="1" customWidth="1"/>
    <col min="22" max="22" width="37.7109375" bestFit="1" customWidth="1"/>
    <col min="23" max="23" width="59.85546875" bestFit="1" customWidth="1"/>
    <col min="24" max="24" width="81.7109375" bestFit="1" customWidth="1"/>
    <col min="27" max="27" width="15.28515625" bestFit="1" customWidth="1"/>
    <col min="28" max="29" width="5.7109375" customWidth="1"/>
  </cols>
  <sheetData>
    <row r="1" spans="1:16" ht="15.75" thickBot="1" x14ac:dyDescent="0.3">
      <c r="A1" s="8" t="s">
        <v>0</v>
      </c>
      <c r="B1" s="19" t="s">
        <v>1</v>
      </c>
      <c r="C1" s="3"/>
      <c r="D1" s="7" t="s">
        <v>6</v>
      </c>
      <c r="E1" s="7" t="s">
        <v>7</v>
      </c>
      <c r="F1" s="7" t="s">
        <v>8</v>
      </c>
      <c r="G1" s="3"/>
      <c r="H1" s="10" t="s">
        <v>13</v>
      </c>
      <c r="I1" s="10" t="s">
        <v>2</v>
      </c>
      <c r="J1" s="10" t="s">
        <v>9</v>
      </c>
      <c r="K1" s="10" t="s">
        <v>3</v>
      </c>
      <c r="L1" s="10" t="s">
        <v>10</v>
      </c>
      <c r="M1" s="10" t="s">
        <v>11</v>
      </c>
      <c r="N1" s="10" t="s">
        <v>4</v>
      </c>
      <c r="O1" s="10" t="s">
        <v>5</v>
      </c>
      <c r="P1" s="3"/>
    </row>
    <row r="2" spans="1:16" ht="15.75" thickBot="1" x14ac:dyDescent="0.3">
      <c r="A2" s="1" t="s">
        <v>15</v>
      </c>
      <c r="B2" s="17" t="str">
        <f>IF(F3="","",F3)</f>
        <v>The Primogen</v>
      </c>
      <c r="D2" s="11" t="s">
        <v>12</v>
      </c>
      <c r="E2" s="11"/>
      <c r="F2" s="11"/>
    </row>
    <row r="3" spans="1:16" x14ac:dyDescent="0.25">
      <c r="A3" s="1" t="s">
        <v>75</v>
      </c>
      <c r="B3" s="17" t="str">
        <f>IF(F4="","",F4)</f>
        <v>Primogen</v>
      </c>
      <c r="D3" s="14"/>
      <c r="E3" s="12" t="s">
        <v>15</v>
      </c>
      <c r="F3" s="4" t="s">
        <v>113</v>
      </c>
      <c r="K3" s="2">
        <f>K4-K5</f>
        <v>1</v>
      </c>
    </row>
    <row r="4" spans="1:16" x14ac:dyDescent="0.25">
      <c r="A4" s="1" t="s">
        <v>17</v>
      </c>
      <c r="B4" s="17" t="str">
        <f>IF(F5="","",F5)</f>
        <v>Edna Judge</v>
      </c>
      <c r="D4" s="14"/>
      <c r="E4" s="12" t="s">
        <v>75</v>
      </c>
      <c r="F4" s="4" t="s">
        <v>112</v>
      </c>
      <c r="K4" s="16">
        <v>1</v>
      </c>
    </row>
    <row r="5" spans="1:16" x14ac:dyDescent="0.25">
      <c r="A5" s="1" t="s">
        <v>90</v>
      </c>
      <c r="B5" s="17" t="str">
        <f t="shared" ref="B5:B10" si="0">IF(F9="","",F9)</f>
        <v>Chains of Office</v>
      </c>
      <c r="D5" s="14"/>
      <c r="E5" s="12" t="s">
        <v>17</v>
      </c>
      <c r="F5" s="4" t="s">
        <v>125</v>
      </c>
      <c r="K5" s="5">
        <f>K8</f>
        <v>0</v>
      </c>
    </row>
    <row r="6" spans="1:16" x14ac:dyDescent="0.25">
      <c r="A6" s="1" t="s">
        <v>76</v>
      </c>
      <c r="B6" s="17" t="str">
        <f t="shared" si="0"/>
        <v>Contacts</v>
      </c>
    </row>
    <row r="7" spans="1:16" x14ac:dyDescent="0.25">
      <c r="A7" s="1" t="s">
        <v>77</v>
      </c>
      <c r="B7" s="17" t="str">
        <f t="shared" si="0"/>
        <v>Closed Book</v>
      </c>
    </row>
    <row r="8" spans="1:16" ht="15.75" thickBot="1" x14ac:dyDescent="0.3">
      <c r="A8" s="1" t="s">
        <v>79</v>
      </c>
      <c r="B8" s="17" t="str">
        <f t="shared" si="0"/>
        <v>Staff</v>
      </c>
      <c r="D8" s="11" t="s">
        <v>19</v>
      </c>
      <c r="E8" s="11"/>
      <c r="F8" s="11"/>
      <c r="K8" s="2">
        <f>SUM(K10:K14,K17)</f>
        <v>0</v>
      </c>
    </row>
    <row r="9" spans="1:16" x14ac:dyDescent="0.25">
      <c r="A9" s="1" t="s">
        <v>78</v>
      </c>
      <c r="B9" s="17" t="str">
        <f t="shared" si="0"/>
        <v>Retainer</v>
      </c>
      <c r="D9" s="13"/>
      <c r="E9" s="12" t="s">
        <v>26</v>
      </c>
      <c r="F9" s="5" t="str">
        <f>VLOOKUP(F3,tblMerits[],3,FALSE)</f>
        <v>Chains of Office</v>
      </c>
      <c r="K9" s="2"/>
    </row>
    <row r="10" spans="1:16" x14ac:dyDescent="0.25">
      <c r="A10" s="1" t="s">
        <v>80</v>
      </c>
      <c r="B10" s="17" t="str">
        <f t="shared" si="0"/>
        <v>Chains of Office</v>
      </c>
      <c r="D10" s="13"/>
      <c r="E10" s="12" t="s">
        <v>81</v>
      </c>
      <c r="F10" s="5" t="str">
        <f>VLOOKUP(F3,tblMerits[],4,FALSE)</f>
        <v>Contacts</v>
      </c>
      <c r="K10" s="4"/>
      <c r="L10" s="5">
        <f>K10</f>
        <v>0</v>
      </c>
      <c r="M10" s="2">
        <f>SUM(I10,L10)</f>
        <v>0</v>
      </c>
      <c r="O10" s="5">
        <v>5</v>
      </c>
    </row>
    <row r="11" spans="1:16" x14ac:dyDescent="0.25">
      <c r="A11" s="1" t="s">
        <v>82</v>
      </c>
      <c r="B11" s="17" t="str">
        <f>IF(OR(M10=0,M10=""),"-",REPT("●",M10))</f>
        <v>-</v>
      </c>
      <c r="D11" s="13"/>
      <c r="E11" s="12" t="s">
        <v>81</v>
      </c>
      <c r="F11" s="5" t="str">
        <f>VLOOKUP(F3,tblMerits[],5,FALSE)</f>
        <v>Closed Book</v>
      </c>
      <c r="K11" s="4"/>
      <c r="L11" s="5">
        <f>K11</f>
        <v>0</v>
      </c>
      <c r="M11" s="2">
        <f>SUM(I11,L11)</f>
        <v>0</v>
      </c>
      <c r="O11" s="5">
        <v>5</v>
      </c>
    </row>
    <row r="12" spans="1:16" x14ac:dyDescent="0.25">
      <c r="A12" s="1" t="s">
        <v>83</v>
      </c>
      <c r="B12" s="17" t="str">
        <f t="shared" ref="B12:B15" si="1">IF(OR(M11=0,M11=""),"-",REPT("●",M11))</f>
        <v>-</v>
      </c>
      <c r="D12" s="13"/>
      <c r="E12" s="12" t="s">
        <v>81</v>
      </c>
      <c r="F12" s="5" t="str">
        <f>VLOOKUP(F3,tblMerits[],6,FALSE)</f>
        <v>Staff</v>
      </c>
      <c r="K12" s="4"/>
      <c r="L12" s="5">
        <f>K12</f>
        <v>0</v>
      </c>
      <c r="M12" s="2">
        <f>SUM(I12,L12)</f>
        <v>0</v>
      </c>
      <c r="O12" s="5">
        <v>5</v>
      </c>
    </row>
    <row r="13" spans="1:16" x14ac:dyDescent="0.25">
      <c r="A13" s="1" t="s">
        <v>84</v>
      </c>
      <c r="B13" s="17" t="str">
        <f t="shared" si="1"/>
        <v>-</v>
      </c>
      <c r="D13" s="13"/>
      <c r="E13" s="12" t="s">
        <v>81</v>
      </c>
      <c r="F13" s="5" t="str">
        <f>VLOOKUP(F3,tblMerits[],7,FALSE)</f>
        <v>Retainer</v>
      </c>
      <c r="K13" s="4"/>
      <c r="L13" s="5">
        <f>K13</f>
        <v>0</v>
      </c>
      <c r="M13" s="2">
        <f>SUM(I13,L13)</f>
        <v>0</v>
      </c>
      <c r="O13" s="5">
        <v>5</v>
      </c>
    </row>
    <row r="14" spans="1:16" x14ac:dyDescent="0.25">
      <c r="A14" s="1" t="s">
        <v>85</v>
      </c>
      <c r="B14" s="17" t="str">
        <f t="shared" si="1"/>
        <v>-</v>
      </c>
      <c r="D14" s="13"/>
      <c r="E14" s="12" t="s">
        <v>81</v>
      </c>
      <c r="F14" s="5" t="str">
        <f>VLOOKUP(F3,tblMerits[],3,FALSE)</f>
        <v>Chains of Office</v>
      </c>
      <c r="K14" s="4"/>
      <c r="L14" s="5">
        <f>K14</f>
        <v>0</v>
      </c>
      <c r="M14" s="2">
        <f>SUM(I14,L14)</f>
        <v>0</v>
      </c>
      <c r="O14" s="5">
        <v>5</v>
      </c>
    </row>
    <row r="15" spans="1:16" x14ac:dyDescent="0.25">
      <c r="A15" s="1" t="s">
        <v>86</v>
      </c>
      <c r="B15" s="17" t="str">
        <f t="shared" si="1"/>
        <v>-</v>
      </c>
    </row>
    <row r="16" spans="1:16" ht="15.75" thickBot="1" x14ac:dyDescent="0.3">
      <c r="A16" s="1" t="s">
        <v>101</v>
      </c>
      <c r="B16" s="17" t="str">
        <f>IF(F17="","",F17)</f>
        <v>Balance of Power</v>
      </c>
      <c r="D16" s="11" t="s">
        <v>25</v>
      </c>
      <c r="E16" s="11"/>
      <c r="F16" s="11"/>
    </row>
    <row r="17" spans="1:15" x14ac:dyDescent="0.25">
      <c r="A17" s="1" t="s">
        <v>96</v>
      </c>
      <c r="B17" s="17" t="str">
        <f>IF($M$17&gt;=1,"●", "○")</f>
        <v>○</v>
      </c>
      <c r="D17" s="13"/>
      <c r="E17" s="12" t="s">
        <v>26</v>
      </c>
      <c r="F17" s="5" t="str">
        <f>VLOOKUP(F3,tblMerits[],9,FALSE)</f>
        <v>Balance of Power</v>
      </c>
      <c r="K17" s="4"/>
      <c r="L17" s="5">
        <f>K17</f>
        <v>0</v>
      </c>
      <c r="M17" s="2">
        <f>SUM(I17,L17)</f>
        <v>0</v>
      </c>
      <c r="O17" s="5">
        <v>5</v>
      </c>
    </row>
    <row r="18" spans="1:15" x14ac:dyDescent="0.25">
      <c r="A18" s="1" t="s">
        <v>97</v>
      </c>
      <c r="B18" s="17" t="str">
        <f>IF($M$17&gt;=2,"●", "○")</f>
        <v>○</v>
      </c>
      <c r="D18" s="12">
        <v>1</v>
      </c>
      <c r="E18" s="14"/>
      <c r="F18" s="5" t="str" cm="1">
        <f t="array" ref="F18:F22">_xlfn._xlws.FILTER(tblManoeuvres[Manoeuvre], tblManoeuvres[Style]=F17)</f>
        <v>Neighbourhood Watch</v>
      </c>
    </row>
    <row r="19" spans="1:15" x14ac:dyDescent="0.25">
      <c r="A19" s="1" t="s">
        <v>98</v>
      </c>
      <c r="B19" s="17" t="str">
        <f>IF($M$17&gt;=3,"●", "○")</f>
        <v>○</v>
      </c>
      <c r="D19" s="12">
        <v>2</v>
      </c>
      <c r="E19" s="14"/>
      <c r="F19" s="5" t="str">
        <v>Freedom of Information</v>
      </c>
    </row>
    <row r="20" spans="1:15" x14ac:dyDescent="0.25">
      <c r="A20" s="1" t="s">
        <v>99</v>
      </c>
      <c r="B20" s="17" t="str">
        <f>IF($M$17&gt;=4,"●", "○")</f>
        <v>○</v>
      </c>
      <c r="D20" s="12">
        <v>3</v>
      </c>
      <c r="E20" s="14"/>
      <c r="F20" s="5" t="str">
        <v>Show of Hands</v>
      </c>
    </row>
    <row r="21" spans="1:15" x14ac:dyDescent="0.25">
      <c r="A21" s="1" t="s">
        <v>100</v>
      </c>
      <c r="B21" s="17" t="str">
        <f>IF($M$17&gt;=5,"●", "○")</f>
        <v>○</v>
      </c>
      <c r="D21" s="12">
        <v>4</v>
      </c>
      <c r="E21" s="14"/>
      <c r="F21" s="5" t="str">
        <v>Pull Rank</v>
      </c>
    </row>
    <row r="22" spans="1:15" x14ac:dyDescent="0.25">
      <c r="A22" s="1" t="s">
        <v>91</v>
      </c>
      <c r="B22" s="17" t="str">
        <f>IF(F18="","",F18)</f>
        <v>Neighbourhood Watch</v>
      </c>
      <c r="D22" s="12">
        <v>5</v>
      </c>
      <c r="E22" s="14"/>
      <c r="F22" s="5" t="str">
        <v>Veto</v>
      </c>
    </row>
    <row r="23" spans="1:15" x14ac:dyDescent="0.25">
      <c r="A23" s="1" t="s">
        <v>92</v>
      </c>
      <c r="B23" s="17" t="str">
        <f t="shared" ref="B23:B26" si="2">IF(F19="","",F19)</f>
        <v>Freedom of Information</v>
      </c>
    </row>
    <row r="24" spans="1:15" x14ac:dyDescent="0.25">
      <c r="A24" s="1" t="s">
        <v>93</v>
      </c>
      <c r="B24" s="17" t="str">
        <f t="shared" si="2"/>
        <v>Show of Hands</v>
      </c>
    </row>
    <row r="25" spans="1:15" x14ac:dyDescent="0.25">
      <c r="A25" s="1" t="s">
        <v>94</v>
      </c>
      <c r="B25" s="17" t="str">
        <f t="shared" si="2"/>
        <v>Pull Rank</v>
      </c>
    </row>
    <row r="26" spans="1:15" x14ac:dyDescent="0.25">
      <c r="A26" s="1" t="s">
        <v>95</v>
      </c>
      <c r="B26" s="17" t="str">
        <f t="shared" si="2"/>
        <v>Veto</v>
      </c>
    </row>
    <row r="27" spans="1:15" x14ac:dyDescent="0.25">
      <c r="A27" s="1" t="s">
        <v>102</v>
      </c>
      <c r="B27" s="17" t="str">
        <f>VLOOKUP(B22,tblManoeuvres[],4,FALSE)</f>
        <v>Spend 1 Influence to learn the Clan and Covenant status of another Kindred at Court.</v>
      </c>
    </row>
    <row r="28" spans="1:15" x14ac:dyDescent="0.25">
      <c r="A28" s="1" t="s">
        <v>103</v>
      </c>
      <c r="B28" s="17" t="str">
        <f>VLOOKUP(B23,tblManoeuvres[],4,FALSE)</f>
        <v>Spend 1 Influence to have a look at the Position sheet of any one Position in play.</v>
      </c>
    </row>
    <row r="29" spans="1:15" x14ac:dyDescent="0.25">
      <c r="A29" s="1" t="s">
        <v>104</v>
      </c>
      <c r="B29" s="17" t="str">
        <f>VLOOKUP(B24,tblManoeuvres[],4,FALSE)</f>
        <v>Spend 1 Influence to have a peek in a bidding box.</v>
      </c>
    </row>
    <row r="30" spans="1:15" x14ac:dyDescent="0.25">
      <c r="A30" s="1" t="s">
        <v>105</v>
      </c>
      <c r="B30" s="17" t="str">
        <f>VLOOKUP(B25,tblManoeuvres[],4,FALSE)</f>
        <v>Spend 1 Influence to add +1 to your City Status for one interaction.</v>
      </c>
    </row>
    <row r="31" spans="1:15" x14ac:dyDescent="0.25">
      <c r="A31" s="1" t="s">
        <v>106</v>
      </c>
      <c r="B31" s="17" t="str">
        <f>VLOOKUP(B26,tblManoeuvres[],4,FALSE)</f>
        <v xml:space="preserve">Spend 1 Influence to block a manoeuvre from any Position, provided they have less City Status than you. </v>
      </c>
    </row>
    <row r="32" spans="1:15" x14ac:dyDescent="0.25">
      <c r="A32" s="1" t="s">
        <v>121</v>
      </c>
      <c r="B32" s="17" t="str">
        <f>VLOOKUP(B2,tblMerits[],2,FALSE)</f>
        <v>Each session, you can raise or lower another character's City Status by 1, once.
You may permanently sacrifice one of your own City Status dots to make a second Status change in the same session.
You cannot affect your own City Status.
Your decisions should be grounded in the City Deeds on the back of this sheet. If you can't justify a Status change, others will be justified in dropping yours.</v>
      </c>
    </row>
    <row r="33" spans="1:2" x14ac:dyDescent="0.25">
      <c r="A33" s="1" t="s">
        <v>3</v>
      </c>
      <c r="B33" s="17">
        <f>IF(K3="","",K3)</f>
        <v>1</v>
      </c>
    </row>
  </sheetData>
  <pageMargins left="0.7" right="0.7" top="0.75" bottom="0.75" header="0.3" footer="0.3"/>
  <pageSetup paperSize="9" orientation="portrait" horizontalDpi="0" verticalDpi="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EEEC5-4ADB-4EDC-AB2F-4706CB9E922D}">
  <dimension ref="A1:P33"/>
  <sheetViews>
    <sheetView zoomScaleNormal="100" workbookViewId="0">
      <pane ySplit="1" topLeftCell="A19" activePane="bottomLeft" state="frozen"/>
      <selection pane="bottomLeft" activeCell="B1" sqref="B1:B1048576"/>
    </sheetView>
  </sheetViews>
  <sheetFormatPr defaultRowHeight="15" x14ac:dyDescent="0.25"/>
  <cols>
    <col min="1" max="1" width="22.85546875" bestFit="1" customWidth="1"/>
    <col min="2" max="2" width="24.5703125" style="17" customWidth="1"/>
    <col min="3" max="3" width="2.7109375" customWidth="1"/>
    <col min="4" max="6" width="20.7109375" customWidth="1"/>
    <col min="7" max="7" width="2.7109375" customWidth="1"/>
    <col min="8" max="15" width="5.7109375" customWidth="1"/>
    <col min="16" max="16" width="2.7109375" customWidth="1"/>
    <col min="17" max="17" width="21.42578125" bestFit="1" customWidth="1"/>
    <col min="18" max="18" width="21.140625" bestFit="1" customWidth="1"/>
    <col min="19" max="19" width="26.28515625" bestFit="1" customWidth="1"/>
    <col min="20" max="20" width="5.85546875" bestFit="1" customWidth="1"/>
    <col min="21" max="21" width="26.28515625" bestFit="1" customWidth="1"/>
    <col min="22" max="22" width="37.7109375" bestFit="1" customWidth="1"/>
    <col min="23" max="23" width="59.85546875" bestFit="1" customWidth="1"/>
    <col min="24" max="24" width="81.7109375" bestFit="1" customWidth="1"/>
    <col min="27" max="27" width="15.28515625" bestFit="1" customWidth="1"/>
    <col min="28" max="29" width="5.7109375" customWidth="1"/>
  </cols>
  <sheetData>
    <row r="1" spans="1:16" ht="15.75" thickBot="1" x14ac:dyDescent="0.3">
      <c r="A1" s="8" t="s">
        <v>0</v>
      </c>
      <c r="B1" s="19" t="s">
        <v>1</v>
      </c>
      <c r="C1" s="3"/>
      <c r="D1" s="7" t="s">
        <v>6</v>
      </c>
      <c r="E1" s="7" t="s">
        <v>7</v>
      </c>
      <c r="F1" s="7" t="s">
        <v>8</v>
      </c>
      <c r="G1" s="3"/>
      <c r="H1" s="10" t="s">
        <v>13</v>
      </c>
      <c r="I1" s="10" t="s">
        <v>2</v>
      </c>
      <c r="J1" s="10" t="s">
        <v>9</v>
      </c>
      <c r="K1" s="10" t="s">
        <v>3</v>
      </c>
      <c r="L1" s="10" t="s">
        <v>10</v>
      </c>
      <c r="M1" s="10" t="s">
        <v>11</v>
      </c>
      <c r="N1" s="10" t="s">
        <v>4</v>
      </c>
      <c r="O1" s="10" t="s">
        <v>5</v>
      </c>
      <c r="P1" s="3"/>
    </row>
    <row r="2" spans="1:16" ht="15.75" thickBot="1" x14ac:dyDescent="0.3">
      <c r="A2" s="1" t="s">
        <v>15</v>
      </c>
      <c r="B2" s="17" t="str">
        <f>IF(F3="","",F3)</f>
        <v>The Socialite</v>
      </c>
      <c r="D2" s="11" t="s">
        <v>12</v>
      </c>
      <c r="E2" s="11"/>
      <c r="F2" s="11"/>
    </row>
    <row r="3" spans="1:16" x14ac:dyDescent="0.25">
      <c r="A3" s="1" t="s">
        <v>75</v>
      </c>
      <c r="B3" s="17" t="str">
        <f>IF(F4="","",F4)</f>
        <v>Harpy</v>
      </c>
      <c r="D3" s="14"/>
      <c r="E3" s="12" t="s">
        <v>15</v>
      </c>
      <c r="F3" s="4" t="s">
        <v>115</v>
      </c>
      <c r="K3" s="2">
        <f>K4-K5</f>
        <v>1</v>
      </c>
    </row>
    <row r="4" spans="1:16" x14ac:dyDescent="0.25">
      <c r="A4" s="1" t="s">
        <v>17</v>
      </c>
      <c r="B4" s="17" t="str">
        <f>IF(F5="","",F5)</f>
        <v>Brandy LaRoux</v>
      </c>
      <c r="D4" s="14"/>
      <c r="E4" s="12" t="s">
        <v>75</v>
      </c>
      <c r="F4" s="4" t="s">
        <v>135</v>
      </c>
      <c r="K4" s="16">
        <v>1</v>
      </c>
    </row>
    <row r="5" spans="1:16" x14ac:dyDescent="0.25">
      <c r="A5" s="1" t="s">
        <v>90</v>
      </c>
      <c r="B5" s="17" t="str">
        <f t="shared" ref="B5:B10" si="0">IF(F9="","",F9)</f>
        <v>Elan</v>
      </c>
      <c r="D5" s="14"/>
      <c r="E5" s="12" t="s">
        <v>17</v>
      </c>
      <c r="F5" s="4" t="s">
        <v>136</v>
      </c>
      <c r="K5" s="5">
        <f>K8</f>
        <v>0</v>
      </c>
    </row>
    <row r="6" spans="1:16" x14ac:dyDescent="0.25">
      <c r="A6" s="1" t="s">
        <v>76</v>
      </c>
      <c r="B6" s="17" t="str">
        <f t="shared" si="0"/>
        <v>Cacophony Savvy</v>
      </c>
    </row>
    <row r="7" spans="1:16" x14ac:dyDescent="0.25">
      <c r="A7" s="1" t="s">
        <v>77</v>
      </c>
      <c r="B7" s="17" t="str">
        <f t="shared" si="0"/>
        <v>Fame (Kindred)</v>
      </c>
    </row>
    <row r="8" spans="1:16" ht="15.75" thickBot="1" x14ac:dyDescent="0.3">
      <c r="A8" s="1" t="s">
        <v>79</v>
      </c>
      <c r="B8" s="17" t="str">
        <f t="shared" si="0"/>
        <v>Contacts</v>
      </c>
      <c r="D8" s="11" t="s">
        <v>19</v>
      </c>
      <c r="E8" s="11"/>
      <c r="F8" s="11"/>
      <c r="K8" s="2">
        <f>SUM(K10:K14,K17)</f>
        <v>0</v>
      </c>
    </row>
    <row r="9" spans="1:16" x14ac:dyDescent="0.25">
      <c r="A9" s="1" t="s">
        <v>78</v>
      </c>
      <c r="B9" s="17" t="str">
        <f t="shared" si="0"/>
        <v>Staff (Sychophants)</v>
      </c>
      <c r="D9" s="13"/>
      <c r="E9" s="12" t="s">
        <v>26</v>
      </c>
      <c r="F9" s="5" t="str">
        <f>VLOOKUP(F3,tblMerits[],3,FALSE)</f>
        <v>Elan</v>
      </c>
      <c r="K9" s="2"/>
    </row>
    <row r="10" spans="1:16" x14ac:dyDescent="0.25">
      <c r="A10" s="1" t="s">
        <v>80</v>
      </c>
      <c r="B10" s="17" t="str">
        <f t="shared" si="0"/>
        <v>Elan</v>
      </c>
      <c r="D10" s="13"/>
      <c r="E10" s="12" t="s">
        <v>81</v>
      </c>
      <c r="F10" s="5" t="str">
        <f>VLOOKUP(F3,tblMerits[],4,FALSE)</f>
        <v>Cacophony Savvy</v>
      </c>
      <c r="K10" s="4"/>
      <c r="L10" s="5">
        <f>K10</f>
        <v>0</v>
      </c>
      <c r="M10" s="2">
        <f>SUM(I10,L10)</f>
        <v>0</v>
      </c>
      <c r="O10" s="5">
        <v>5</v>
      </c>
    </row>
    <row r="11" spans="1:16" x14ac:dyDescent="0.25">
      <c r="A11" s="1" t="s">
        <v>82</v>
      </c>
      <c r="B11" s="17" t="str">
        <f>IF(OR(M10=0,M10=""),"-",REPT("●",M10))</f>
        <v>-</v>
      </c>
      <c r="D11" s="13"/>
      <c r="E11" s="12" t="s">
        <v>81</v>
      </c>
      <c r="F11" s="5" t="str">
        <f>VLOOKUP(F3,tblMerits[],5,FALSE)</f>
        <v>Fame (Kindred)</v>
      </c>
      <c r="K11" s="4"/>
      <c r="L11" s="5">
        <f>K11</f>
        <v>0</v>
      </c>
      <c r="M11" s="2">
        <f>SUM(I11,L11)</f>
        <v>0</v>
      </c>
      <c r="O11" s="5">
        <v>5</v>
      </c>
    </row>
    <row r="12" spans="1:16" x14ac:dyDescent="0.25">
      <c r="A12" s="1" t="s">
        <v>83</v>
      </c>
      <c r="B12" s="17" t="str">
        <f t="shared" ref="B12:B15" si="1">IF(OR(M11=0,M11=""),"-",REPT("●",M11))</f>
        <v>-</v>
      </c>
      <c r="D12" s="13"/>
      <c r="E12" s="12" t="s">
        <v>81</v>
      </c>
      <c r="F12" s="5" t="str">
        <f>VLOOKUP(F3,tblMerits[],6,FALSE)</f>
        <v>Contacts</v>
      </c>
      <c r="K12" s="4"/>
      <c r="L12" s="5">
        <f>K12</f>
        <v>0</v>
      </c>
      <c r="M12" s="2">
        <f>SUM(I12,L12)</f>
        <v>0</v>
      </c>
      <c r="O12" s="5">
        <v>5</v>
      </c>
    </row>
    <row r="13" spans="1:16" x14ac:dyDescent="0.25">
      <c r="A13" s="1" t="s">
        <v>84</v>
      </c>
      <c r="B13" s="17" t="str">
        <f t="shared" si="1"/>
        <v>-</v>
      </c>
      <c r="D13" s="13"/>
      <c r="E13" s="12" t="s">
        <v>81</v>
      </c>
      <c r="F13" s="5" t="str">
        <f>VLOOKUP(F3,tblMerits[],7,FALSE)</f>
        <v>Staff (Sychophants)</v>
      </c>
      <c r="K13" s="4"/>
      <c r="L13" s="5">
        <f>K13</f>
        <v>0</v>
      </c>
      <c r="M13" s="2">
        <f>SUM(I13,L13)</f>
        <v>0</v>
      </c>
      <c r="O13" s="5">
        <v>5</v>
      </c>
    </row>
    <row r="14" spans="1:16" x14ac:dyDescent="0.25">
      <c r="A14" s="1" t="s">
        <v>85</v>
      </c>
      <c r="B14" s="17" t="str">
        <f t="shared" si="1"/>
        <v>-</v>
      </c>
      <c r="D14" s="13"/>
      <c r="E14" s="12" t="s">
        <v>81</v>
      </c>
      <c r="F14" s="5" t="str">
        <f>VLOOKUP(F3,tblMerits[],3,FALSE)</f>
        <v>Elan</v>
      </c>
      <c r="K14" s="4"/>
      <c r="L14" s="5">
        <f>K14</f>
        <v>0</v>
      </c>
      <c r="M14" s="2">
        <f>SUM(I14,L14)</f>
        <v>0</v>
      </c>
      <c r="O14" s="5">
        <v>5</v>
      </c>
    </row>
    <row r="15" spans="1:16" x14ac:dyDescent="0.25">
      <c r="A15" s="1" t="s">
        <v>86</v>
      </c>
      <c r="B15" s="17" t="str">
        <f t="shared" si="1"/>
        <v>-</v>
      </c>
    </row>
    <row r="16" spans="1:16" ht="15.75" thickBot="1" x14ac:dyDescent="0.3">
      <c r="A16" s="1" t="s">
        <v>101</v>
      </c>
      <c r="B16" s="17" t="str">
        <f>IF(F17="","",F17)</f>
        <v>Elan</v>
      </c>
      <c r="D16" s="11" t="s">
        <v>25</v>
      </c>
      <c r="E16" s="11"/>
      <c r="F16" s="11"/>
    </row>
    <row r="17" spans="1:15" x14ac:dyDescent="0.25">
      <c r="A17" s="1" t="s">
        <v>96</v>
      </c>
      <c r="B17" s="17" t="str">
        <f>IF($M$17&gt;=1,"●", "○")</f>
        <v>○</v>
      </c>
      <c r="D17" s="13"/>
      <c r="E17" s="12" t="s">
        <v>26</v>
      </c>
      <c r="F17" s="5" t="str">
        <f>VLOOKUP(F3,tblMerits[],9,FALSE)</f>
        <v>Elan</v>
      </c>
      <c r="K17" s="4"/>
      <c r="L17" s="5">
        <f>K17</f>
        <v>0</v>
      </c>
      <c r="M17" s="2">
        <f>SUM(I17,L17)</f>
        <v>0</v>
      </c>
      <c r="O17" s="5">
        <v>5</v>
      </c>
    </row>
    <row r="18" spans="1:15" x14ac:dyDescent="0.25">
      <c r="A18" s="1" t="s">
        <v>97</v>
      </c>
      <c r="B18" s="17" t="str">
        <f>IF($M$17&gt;=2,"●", "○")</f>
        <v>○</v>
      </c>
      <c r="D18" s="12">
        <v>1</v>
      </c>
      <c r="E18" s="14"/>
      <c r="F18" s="5" t="str" cm="1">
        <f t="array" ref="F18:F22">_xlfn._xlws.FILTER(tblManoeuvres[Manoeuvre], tblManoeuvres[Style]=F17)</f>
        <v>Size Them Up</v>
      </c>
    </row>
    <row r="19" spans="1:15" x14ac:dyDescent="0.25">
      <c r="A19" s="1" t="s">
        <v>98</v>
      </c>
      <c r="B19" s="17" t="str">
        <f>IF($M$17&gt;=3,"●", "○")</f>
        <v>○</v>
      </c>
      <c r="D19" s="12">
        <v>2</v>
      </c>
      <c r="E19" s="14"/>
      <c r="F19" s="5" t="str">
        <v>Faux Pas</v>
      </c>
    </row>
    <row r="20" spans="1:15" x14ac:dyDescent="0.25">
      <c r="A20" s="1" t="s">
        <v>99</v>
      </c>
      <c r="B20" s="17" t="str">
        <f>IF($M$17&gt;=4,"●", "○")</f>
        <v>○</v>
      </c>
      <c r="D20" s="12">
        <v>3</v>
      </c>
      <c r="E20" s="14"/>
      <c r="F20" s="5" t="str">
        <v>Saving Face</v>
      </c>
    </row>
    <row r="21" spans="1:15" x14ac:dyDescent="0.25">
      <c r="A21" s="1" t="s">
        <v>100</v>
      </c>
      <c r="B21" s="17" t="str">
        <f>IF($M$17&gt;=5,"●", "○")</f>
        <v>○</v>
      </c>
      <c r="D21" s="12">
        <v>4</v>
      </c>
      <c r="E21" s="14"/>
      <c r="F21" s="5" t="str">
        <v>Playing Favourites</v>
      </c>
    </row>
    <row r="22" spans="1:15" x14ac:dyDescent="0.25">
      <c r="A22" s="1" t="s">
        <v>91</v>
      </c>
      <c r="B22" s="17" t="str">
        <f>IF(F18="","",F18)</f>
        <v>Size Them Up</v>
      </c>
      <c r="D22" s="12">
        <v>5</v>
      </c>
      <c r="E22" s="14"/>
      <c r="F22" s="5" t="str">
        <v>Curry Favour</v>
      </c>
    </row>
    <row r="23" spans="1:15" x14ac:dyDescent="0.25">
      <c r="A23" s="1" t="s">
        <v>92</v>
      </c>
      <c r="B23" s="17" t="str">
        <f t="shared" ref="B23:B26" si="2">IF(F19="","",F19)</f>
        <v>Faux Pas</v>
      </c>
    </row>
    <row r="24" spans="1:15" x14ac:dyDescent="0.25">
      <c r="A24" s="1" t="s">
        <v>93</v>
      </c>
      <c r="B24" s="17" t="str">
        <f t="shared" si="2"/>
        <v>Saving Face</v>
      </c>
    </row>
    <row r="25" spans="1:15" x14ac:dyDescent="0.25">
      <c r="A25" s="1" t="s">
        <v>94</v>
      </c>
      <c r="B25" s="17" t="str">
        <f t="shared" si="2"/>
        <v>Playing Favourites</v>
      </c>
    </row>
    <row r="26" spans="1:15" x14ac:dyDescent="0.25">
      <c r="A26" s="1" t="s">
        <v>95</v>
      </c>
      <c r="B26" s="17" t="str">
        <f t="shared" si="2"/>
        <v>Curry Favour</v>
      </c>
    </row>
    <row r="27" spans="1:15" x14ac:dyDescent="0.25">
      <c r="A27" s="1" t="s">
        <v>102</v>
      </c>
      <c r="B27" s="17" t="str">
        <f>VLOOKUP(B22,tblManoeuvres[],4,FALSE)</f>
        <v>Spend 1 Influence to learn the rating of one named Status type (Kindred or mortal) for a Kindred you can see.</v>
      </c>
    </row>
    <row r="28" spans="1:15" x14ac:dyDescent="0.25">
      <c r="A28" s="1" t="s">
        <v>103</v>
      </c>
      <c r="B28" s="17" t="str">
        <f>VLOOKUP(B23,tblManoeuvres[],4,FALSE)</f>
        <v>Spend 1 Influence to reroll a failed Social roll. This cannot be used on contested rolls.</v>
      </c>
    </row>
    <row r="29" spans="1:15" x14ac:dyDescent="0.25">
      <c r="A29" s="1" t="s">
        <v>104</v>
      </c>
      <c r="B29" s="17" t="str">
        <f>VLOOKUP(B24,tblManoeuvres[],4,FALSE)</f>
        <v>Spend 1 Influence to learn the Mask of a Kindred you can see.</v>
      </c>
    </row>
    <row r="30" spans="1:15" x14ac:dyDescent="0.25">
      <c r="A30" s="1" t="s">
        <v>105</v>
      </c>
      <c r="B30" s="17" t="str">
        <f>VLOOKUP(B25,tblManoeuvres[],4,FALSE)</f>
        <v>Spend 1 Influence to improve your initial impression by one step for the duration of that Social Manoeuvring. If activated on a new target before the last is resolved, the original's impression drops by two steps.</v>
      </c>
    </row>
    <row r="31" spans="1:15" x14ac:dyDescent="0.25">
      <c r="A31" s="1" t="s">
        <v>106</v>
      </c>
      <c r="B31" s="17" t="str">
        <f>VLOOKUP(B26,tblManoeuvres[],4,FALSE)</f>
        <v xml:space="preserve">Once per game, spend 1 Influence to publicly impose the Leveraged Condition on a Kindred you can see. </v>
      </c>
    </row>
    <row r="32" spans="1:15" x14ac:dyDescent="0.25">
      <c r="A32" s="1" t="s">
        <v>121</v>
      </c>
      <c r="B32" s="17" t="str">
        <f>VLOOKUP(B2,tblMerits[],2,FALSE)</f>
        <v>Each session, you can raise or lower another character's City Status by 1.
You can do this a number of times per session equal to your own Effective City Status.
You cannot affect your own City Status, and you cannot hold another major court position simultaneously.
Your decisions should be grounded in the City Deeds on the back of this sheet. If you can't justify a Status change, others will be justified in dropping yours.</v>
      </c>
    </row>
    <row r="33" spans="1:2" x14ac:dyDescent="0.25">
      <c r="A33" s="1" t="s">
        <v>3</v>
      </c>
      <c r="B33" s="17">
        <f>IF(K3="","",K3)</f>
        <v>1</v>
      </c>
    </row>
  </sheetData>
  <pageMargins left="0.7" right="0.7" top="0.75" bottom="0.75" header="0.3" footer="0.3"/>
  <pageSetup paperSize="9" orientation="portrait" horizontalDpi="0" verticalDpi="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3B277-B30F-4DFB-AA84-2D6F671B4A5E}">
  <dimension ref="A1:P33"/>
  <sheetViews>
    <sheetView zoomScaleNormal="100" workbookViewId="0">
      <pane ySplit="1" topLeftCell="A16" activePane="bottomLeft" state="frozen"/>
      <selection pane="bottomLeft" activeCell="A33" sqref="A33:B33"/>
    </sheetView>
  </sheetViews>
  <sheetFormatPr defaultRowHeight="15" x14ac:dyDescent="0.25"/>
  <cols>
    <col min="1" max="1" width="22.85546875" bestFit="1" customWidth="1"/>
    <col min="2" max="2" width="24.5703125" customWidth="1"/>
    <col min="3" max="3" width="2.7109375" customWidth="1"/>
    <col min="4" max="6" width="20.7109375" customWidth="1"/>
    <col min="7" max="7" width="2.7109375" customWidth="1"/>
    <col min="8" max="15" width="5.7109375" customWidth="1"/>
    <col min="16" max="16" width="2.7109375" customWidth="1"/>
    <col min="17" max="17" width="21.42578125" bestFit="1" customWidth="1"/>
    <col min="18" max="18" width="21.140625" bestFit="1" customWidth="1"/>
    <col min="19" max="19" width="26.28515625" bestFit="1" customWidth="1"/>
    <col min="20" max="20" width="5.85546875" bestFit="1" customWidth="1"/>
    <col min="21" max="21" width="26.28515625" bestFit="1" customWidth="1"/>
    <col min="22" max="22" width="37.7109375" bestFit="1" customWidth="1"/>
    <col min="23" max="23" width="59.85546875" bestFit="1" customWidth="1"/>
    <col min="24" max="24" width="81.7109375" bestFit="1" customWidth="1"/>
    <col min="27" max="27" width="15.28515625" bestFit="1" customWidth="1"/>
    <col min="28" max="29" width="5.7109375" customWidth="1"/>
  </cols>
  <sheetData>
    <row r="1" spans="1:16" ht="15.75" thickBot="1" x14ac:dyDescent="0.3">
      <c r="A1" s="8" t="s">
        <v>0</v>
      </c>
      <c r="B1" s="9" t="s">
        <v>1</v>
      </c>
      <c r="C1" s="3"/>
      <c r="D1" s="7" t="s">
        <v>6</v>
      </c>
      <c r="E1" s="7" t="s">
        <v>7</v>
      </c>
      <c r="F1" s="7" t="s">
        <v>8</v>
      </c>
      <c r="G1" s="3"/>
      <c r="H1" s="10" t="s">
        <v>13</v>
      </c>
      <c r="I1" s="10" t="s">
        <v>2</v>
      </c>
      <c r="J1" s="10" t="s">
        <v>9</v>
      </c>
      <c r="K1" s="10" t="s">
        <v>3</v>
      </c>
      <c r="L1" s="10" t="s">
        <v>10</v>
      </c>
      <c r="M1" s="10" t="s">
        <v>11</v>
      </c>
      <c r="N1" s="10" t="s">
        <v>4</v>
      </c>
      <c r="O1" s="10" t="s">
        <v>5</v>
      </c>
      <c r="P1" s="3"/>
    </row>
    <row r="2" spans="1:16" ht="15.75" thickBot="1" x14ac:dyDescent="0.3">
      <c r="A2" s="1" t="s">
        <v>15</v>
      </c>
      <c r="B2" s="6" t="str">
        <f>IF(F3="","",F3)</f>
        <v>The Socialite</v>
      </c>
      <c r="D2" s="11" t="s">
        <v>12</v>
      </c>
      <c r="E2" s="11"/>
      <c r="F2" s="11"/>
    </row>
    <row r="3" spans="1:16" x14ac:dyDescent="0.25">
      <c r="A3" s="1" t="s">
        <v>75</v>
      </c>
      <c r="B3" s="6" t="str">
        <f>IF(F4="","",F4)</f>
        <v/>
      </c>
      <c r="D3" s="14"/>
      <c r="E3" s="12" t="s">
        <v>15</v>
      </c>
      <c r="F3" s="4" t="s">
        <v>115</v>
      </c>
      <c r="K3" s="2">
        <f>K4-K5</f>
        <v>1</v>
      </c>
    </row>
    <row r="4" spans="1:16" x14ac:dyDescent="0.25">
      <c r="A4" s="1" t="s">
        <v>17</v>
      </c>
      <c r="B4" s="6" t="str">
        <f>IF(F5="","",F5)</f>
        <v/>
      </c>
      <c r="D4" s="14"/>
      <c r="E4" s="12" t="s">
        <v>75</v>
      </c>
      <c r="F4" s="4"/>
      <c r="K4" s="16">
        <v>1</v>
      </c>
    </row>
    <row r="5" spans="1:16" x14ac:dyDescent="0.25">
      <c r="A5" s="1" t="s">
        <v>90</v>
      </c>
      <c r="B5" s="6" t="str">
        <f t="shared" ref="B5:B10" si="0">IF(F9="","",F9)</f>
        <v>Elan</v>
      </c>
      <c r="D5" s="14"/>
      <c r="E5" s="12" t="s">
        <v>17</v>
      </c>
      <c r="F5" s="4"/>
      <c r="K5" s="5">
        <f>K8</f>
        <v>0</v>
      </c>
    </row>
    <row r="6" spans="1:16" x14ac:dyDescent="0.25">
      <c r="A6" s="1" t="s">
        <v>76</v>
      </c>
      <c r="B6" s="6" t="str">
        <f t="shared" si="0"/>
        <v>Cacophony Savvy</v>
      </c>
    </row>
    <row r="7" spans="1:16" x14ac:dyDescent="0.25">
      <c r="A7" s="1" t="s">
        <v>77</v>
      </c>
      <c r="B7" s="6" t="str">
        <f t="shared" si="0"/>
        <v>Fame (Kindred)</v>
      </c>
    </row>
    <row r="8" spans="1:16" ht="15.75" thickBot="1" x14ac:dyDescent="0.3">
      <c r="A8" s="1" t="s">
        <v>79</v>
      </c>
      <c r="B8" s="6" t="str">
        <f t="shared" si="0"/>
        <v>Contacts</v>
      </c>
      <c r="D8" s="11" t="s">
        <v>19</v>
      </c>
      <c r="E8" s="11"/>
      <c r="F8" s="11"/>
      <c r="K8" s="2">
        <f>SUM(K10:K14,K17)</f>
        <v>0</v>
      </c>
    </row>
    <row r="9" spans="1:16" x14ac:dyDescent="0.25">
      <c r="A9" s="1" t="s">
        <v>78</v>
      </c>
      <c r="B9" s="6" t="str">
        <f t="shared" si="0"/>
        <v>Staff (Sychophants)</v>
      </c>
      <c r="D9" s="13"/>
      <c r="E9" s="12" t="s">
        <v>26</v>
      </c>
      <c r="F9" s="5" t="str">
        <f>VLOOKUP(F3,tblMerits[],3,FALSE)</f>
        <v>Elan</v>
      </c>
      <c r="K9" s="2"/>
    </row>
    <row r="10" spans="1:16" x14ac:dyDescent="0.25">
      <c r="A10" s="1" t="s">
        <v>80</v>
      </c>
      <c r="B10" s="6" t="str">
        <f t="shared" si="0"/>
        <v>Elan</v>
      </c>
      <c r="D10" s="13"/>
      <c r="E10" s="12" t="s">
        <v>81</v>
      </c>
      <c r="F10" s="5" t="str">
        <f>VLOOKUP(F3,tblMerits[],4,FALSE)</f>
        <v>Cacophony Savvy</v>
      </c>
      <c r="K10" s="4"/>
      <c r="L10" s="5">
        <f>K10</f>
        <v>0</v>
      </c>
      <c r="M10" s="2">
        <f>SUM(I10,L10)</f>
        <v>0</v>
      </c>
      <c r="O10" s="5">
        <v>5</v>
      </c>
    </row>
    <row r="11" spans="1:16" x14ac:dyDescent="0.25">
      <c r="A11" s="1" t="s">
        <v>82</v>
      </c>
      <c r="B11" s="15" t="str">
        <f>IF(OR(M10=0,M10=""),"-",REPT("●",M10))</f>
        <v>-</v>
      </c>
      <c r="D11" s="13"/>
      <c r="E11" s="12" t="s">
        <v>81</v>
      </c>
      <c r="F11" s="5" t="str">
        <f>VLOOKUP(F3,tblMerits[],5,FALSE)</f>
        <v>Fame (Kindred)</v>
      </c>
      <c r="K11" s="4"/>
      <c r="L11" s="5">
        <f>K11</f>
        <v>0</v>
      </c>
      <c r="M11" s="2">
        <f>SUM(I11,L11)</f>
        <v>0</v>
      </c>
      <c r="O11" s="5">
        <v>5</v>
      </c>
    </row>
    <row r="12" spans="1:16" x14ac:dyDescent="0.25">
      <c r="A12" s="1" t="s">
        <v>83</v>
      </c>
      <c r="B12" s="15" t="str">
        <f t="shared" ref="B12:B15" si="1">IF(OR(M11=0,M11=""),"-",REPT("●",M11))</f>
        <v>-</v>
      </c>
      <c r="D12" s="13"/>
      <c r="E12" s="12" t="s">
        <v>81</v>
      </c>
      <c r="F12" s="5" t="str">
        <f>VLOOKUP(F3,tblMerits[],6,FALSE)</f>
        <v>Contacts</v>
      </c>
      <c r="K12" s="4"/>
      <c r="L12" s="5">
        <f>K12</f>
        <v>0</v>
      </c>
      <c r="M12" s="2">
        <f>SUM(I12,L12)</f>
        <v>0</v>
      </c>
      <c r="O12" s="5">
        <v>5</v>
      </c>
    </row>
    <row r="13" spans="1:16" x14ac:dyDescent="0.25">
      <c r="A13" s="1" t="s">
        <v>84</v>
      </c>
      <c r="B13" s="15" t="str">
        <f t="shared" si="1"/>
        <v>-</v>
      </c>
      <c r="D13" s="13"/>
      <c r="E13" s="12" t="s">
        <v>81</v>
      </c>
      <c r="F13" s="5" t="str">
        <f>VLOOKUP(F3,tblMerits[],7,FALSE)</f>
        <v>Staff (Sychophants)</v>
      </c>
      <c r="K13" s="4"/>
      <c r="L13" s="5">
        <f>K13</f>
        <v>0</v>
      </c>
      <c r="M13" s="2">
        <f>SUM(I13,L13)</f>
        <v>0</v>
      </c>
      <c r="O13" s="5">
        <v>5</v>
      </c>
    </row>
    <row r="14" spans="1:16" x14ac:dyDescent="0.25">
      <c r="A14" s="1" t="s">
        <v>85</v>
      </c>
      <c r="B14" s="15" t="str">
        <f t="shared" si="1"/>
        <v>-</v>
      </c>
      <c r="D14" s="13"/>
      <c r="E14" s="12" t="s">
        <v>81</v>
      </c>
      <c r="F14" s="5" t="str">
        <f>VLOOKUP(F3,tblMerits[],3,FALSE)</f>
        <v>Elan</v>
      </c>
      <c r="K14" s="4"/>
      <c r="L14" s="5">
        <f>K14</f>
        <v>0</v>
      </c>
      <c r="M14" s="2">
        <f>SUM(I14,L14)</f>
        <v>0</v>
      </c>
      <c r="O14" s="5">
        <v>5</v>
      </c>
    </row>
    <row r="15" spans="1:16" x14ac:dyDescent="0.25">
      <c r="A15" s="1" t="s">
        <v>86</v>
      </c>
      <c r="B15" s="15" t="str">
        <f t="shared" si="1"/>
        <v>-</v>
      </c>
    </row>
    <row r="16" spans="1:16" ht="15.75" thickBot="1" x14ac:dyDescent="0.3">
      <c r="A16" s="1" t="s">
        <v>101</v>
      </c>
      <c r="B16" s="15" t="str">
        <f>IF(F17="","",F17)</f>
        <v>Elan</v>
      </c>
      <c r="D16" s="11" t="s">
        <v>25</v>
      </c>
      <c r="E16" s="11"/>
      <c r="F16" s="11"/>
    </row>
    <row r="17" spans="1:15" x14ac:dyDescent="0.25">
      <c r="A17" s="1" t="s">
        <v>96</v>
      </c>
      <c r="B17" s="6" t="str">
        <f>IF($M$17&gt;=1,"●", "○")</f>
        <v>○</v>
      </c>
      <c r="D17" s="13"/>
      <c r="E17" s="12" t="s">
        <v>26</v>
      </c>
      <c r="F17" s="5" t="str">
        <f>VLOOKUP(F3,tblMerits[],9,FALSE)</f>
        <v>Elan</v>
      </c>
      <c r="K17" s="4"/>
      <c r="L17" s="5">
        <f>K17</f>
        <v>0</v>
      </c>
      <c r="M17" s="2">
        <f>SUM(I17,L17)</f>
        <v>0</v>
      </c>
      <c r="O17" s="5">
        <v>5</v>
      </c>
    </row>
    <row r="18" spans="1:15" x14ac:dyDescent="0.25">
      <c r="A18" s="1" t="s">
        <v>97</v>
      </c>
      <c r="B18" s="6" t="str">
        <f>IF($M$17&gt;=2,"●", "○")</f>
        <v>○</v>
      </c>
      <c r="D18" s="12">
        <v>1</v>
      </c>
      <c r="E18" s="14"/>
      <c r="F18" s="5" t="str" cm="1">
        <f t="array" ref="F18:F22">_xlfn._xlws.FILTER(tblManoeuvres[Manoeuvre], tblManoeuvres[Style]=F17)</f>
        <v>Size Them Up</v>
      </c>
    </row>
    <row r="19" spans="1:15" x14ac:dyDescent="0.25">
      <c r="A19" s="1" t="s">
        <v>98</v>
      </c>
      <c r="B19" s="6" t="str">
        <f>IF($M$17&gt;=3,"●", "○")</f>
        <v>○</v>
      </c>
      <c r="D19" s="12">
        <v>2</v>
      </c>
      <c r="E19" s="14"/>
      <c r="F19" s="5" t="str">
        <v>Faux Pas</v>
      </c>
    </row>
    <row r="20" spans="1:15" x14ac:dyDescent="0.25">
      <c r="A20" s="1" t="s">
        <v>99</v>
      </c>
      <c r="B20" s="6" t="str">
        <f>IF($M$17&gt;=4,"●", "○")</f>
        <v>○</v>
      </c>
      <c r="D20" s="12">
        <v>3</v>
      </c>
      <c r="E20" s="14"/>
      <c r="F20" s="5" t="str">
        <v>Saving Face</v>
      </c>
    </row>
    <row r="21" spans="1:15" x14ac:dyDescent="0.25">
      <c r="A21" s="1" t="s">
        <v>100</v>
      </c>
      <c r="B21" s="6" t="str">
        <f>IF($M$17&gt;=5,"●", "○")</f>
        <v>○</v>
      </c>
      <c r="D21" s="12">
        <v>4</v>
      </c>
      <c r="E21" s="14"/>
      <c r="F21" s="5" t="str">
        <v>Playing Favourites</v>
      </c>
    </row>
    <row r="22" spans="1:15" x14ac:dyDescent="0.25">
      <c r="A22" s="1" t="s">
        <v>91</v>
      </c>
      <c r="B22" s="6" t="str">
        <f>IF(F18="","",F18)</f>
        <v>Size Them Up</v>
      </c>
      <c r="D22" s="12">
        <v>5</v>
      </c>
      <c r="E22" s="14"/>
      <c r="F22" s="5" t="str">
        <v>Curry Favour</v>
      </c>
    </row>
    <row r="23" spans="1:15" x14ac:dyDescent="0.25">
      <c r="A23" s="1" t="s">
        <v>92</v>
      </c>
      <c r="B23" s="6" t="str">
        <f t="shared" ref="B23:B26" si="2">IF(F19="","",F19)</f>
        <v>Faux Pas</v>
      </c>
    </row>
    <row r="24" spans="1:15" x14ac:dyDescent="0.25">
      <c r="A24" s="1" t="s">
        <v>93</v>
      </c>
      <c r="B24" s="6" t="str">
        <f t="shared" si="2"/>
        <v>Saving Face</v>
      </c>
    </row>
    <row r="25" spans="1:15" x14ac:dyDescent="0.25">
      <c r="A25" s="1" t="s">
        <v>94</v>
      </c>
      <c r="B25" s="6" t="str">
        <f t="shared" si="2"/>
        <v>Playing Favourites</v>
      </c>
    </row>
    <row r="26" spans="1:15" x14ac:dyDescent="0.25">
      <c r="A26" s="1" t="s">
        <v>95</v>
      </c>
      <c r="B26" s="6" t="str">
        <f t="shared" si="2"/>
        <v>Curry Favour</v>
      </c>
    </row>
    <row r="27" spans="1:15" x14ac:dyDescent="0.25">
      <c r="A27" s="1" t="s">
        <v>102</v>
      </c>
      <c r="B27" s="6" t="str">
        <f>VLOOKUP(B22,tblManoeuvres[],4,FALSE)</f>
        <v>Spend 1 Influence to learn the rating of one named Status type (Kindred or mortal) for a Kindred you can see.</v>
      </c>
    </row>
    <row r="28" spans="1:15" x14ac:dyDescent="0.25">
      <c r="A28" s="1" t="s">
        <v>103</v>
      </c>
      <c r="B28" s="6" t="str">
        <f>VLOOKUP(B23,tblManoeuvres[],4,FALSE)</f>
        <v>Spend 1 Influence to reroll a failed Social roll. This cannot be used on contested rolls.</v>
      </c>
    </row>
    <row r="29" spans="1:15" x14ac:dyDescent="0.25">
      <c r="A29" s="1" t="s">
        <v>104</v>
      </c>
      <c r="B29" s="6" t="str">
        <f>VLOOKUP(B24,tblManoeuvres[],4,FALSE)</f>
        <v>Spend 1 Influence to learn the Mask of a Kindred you can see.</v>
      </c>
    </row>
    <row r="30" spans="1:15" x14ac:dyDescent="0.25">
      <c r="A30" s="1" t="s">
        <v>105</v>
      </c>
      <c r="B30" s="6" t="str">
        <f>VLOOKUP(B25,tblManoeuvres[],4,FALSE)</f>
        <v>Spend 1 Influence to improve your initial impression by one step for the duration of that Social Manoeuvring. If activated on a new target before the last is resolved, the original's impression drops by two steps.</v>
      </c>
    </row>
    <row r="31" spans="1:15" x14ac:dyDescent="0.25">
      <c r="A31" s="1" t="s">
        <v>106</v>
      </c>
      <c r="B31" s="6" t="str">
        <f>VLOOKUP(B26,tblManoeuvres[],4,FALSE)</f>
        <v xml:space="preserve">Once per game, spend 1 Influence to publicly impose the Leveraged Condition on a Kindred you can see. </v>
      </c>
    </row>
    <row r="32" spans="1:15" x14ac:dyDescent="0.25">
      <c r="A32" s="1" t="s">
        <v>121</v>
      </c>
      <c r="B32" s="6" t="str">
        <f>VLOOKUP(B2,tblMerits[],2,FALSE)</f>
        <v>Each session, you can raise or lower another character's City Status by 1.
You can do this a number of times per session equal to your own Effective City Status.
You cannot affect your own City Status, and you cannot hold another major court position simultaneously.
Your decisions should be grounded in the City Deeds on the back of this sheet. If you can't justify a Status change, others will be justified in dropping yours.</v>
      </c>
    </row>
    <row r="33" spans="1:2" x14ac:dyDescent="0.25">
      <c r="A33" s="1" t="s">
        <v>3</v>
      </c>
      <c r="B33" s="15">
        <f>IF(K3="","",K3)</f>
        <v>1</v>
      </c>
    </row>
  </sheetData>
  <pageMargins left="0.7" right="0.7" top="0.75" bottom="0.75" header="0.3" footer="0.3"/>
  <pageSetup paperSize="9" orientation="portrait" horizontalDpi="0" verticalDpi="0"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000FA-8EE5-43A1-A1C6-EF4E84D8E701}">
  <dimension ref="A1:P33"/>
  <sheetViews>
    <sheetView zoomScaleNormal="100" workbookViewId="0">
      <pane ySplit="1" topLeftCell="A6" activePane="bottomLeft" state="frozen"/>
      <selection pane="bottomLeft" activeCell="A33" sqref="A33:B33"/>
    </sheetView>
  </sheetViews>
  <sheetFormatPr defaultRowHeight="15" x14ac:dyDescent="0.25"/>
  <cols>
    <col min="1" max="1" width="22.85546875" bestFit="1" customWidth="1"/>
    <col min="2" max="2" width="24.5703125" customWidth="1"/>
    <col min="3" max="3" width="2.7109375" customWidth="1"/>
    <col min="4" max="6" width="20.7109375" customWidth="1"/>
    <col min="7" max="7" width="2.7109375" customWidth="1"/>
    <col min="8" max="15" width="5.7109375" customWidth="1"/>
    <col min="16" max="16" width="2.7109375" customWidth="1"/>
    <col min="17" max="17" width="21.42578125" bestFit="1" customWidth="1"/>
    <col min="18" max="18" width="21.140625" bestFit="1" customWidth="1"/>
    <col min="19" max="19" width="26.28515625" bestFit="1" customWidth="1"/>
    <col min="20" max="20" width="5.85546875" bestFit="1" customWidth="1"/>
    <col min="21" max="21" width="26.28515625" bestFit="1" customWidth="1"/>
    <col min="22" max="22" width="37.7109375" bestFit="1" customWidth="1"/>
    <col min="23" max="23" width="59.85546875" bestFit="1" customWidth="1"/>
    <col min="24" max="24" width="81.7109375" bestFit="1" customWidth="1"/>
    <col min="27" max="27" width="15.28515625" bestFit="1" customWidth="1"/>
    <col min="28" max="29" width="5.7109375" customWidth="1"/>
  </cols>
  <sheetData>
    <row r="1" spans="1:16" ht="15.75" thickBot="1" x14ac:dyDescent="0.3">
      <c r="A1" s="8" t="s">
        <v>0</v>
      </c>
      <c r="B1" s="9" t="s">
        <v>1</v>
      </c>
      <c r="C1" s="3"/>
      <c r="D1" s="7" t="s">
        <v>6</v>
      </c>
      <c r="E1" s="7" t="s">
        <v>7</v>
      </c>
      <c r="F1" s="7" t="s">
        <v>8</v>
      </c>
      <c r="G1" s="3"/>
      <c r="H1" s="10" t="s">
        <v>13</v>
      </c>
      <c r="I1" s="10" t="s">
        <v>2</v>
      </c>
      <c r="J1" s="10" t="s">
        <v>9</v>
      </c>
      <c r="K1" s="10" t="s">
        <v>3</v>
      </c>
      <c r="L1" s="10" t="s">
        <v>10</v>
      </c>
      <c r="M1" s="10" t="s">
        <v>11</v>
      </c>
      <c r="N1" s="10" t="s">
        <v>4</v>
      </c>
      <c r="O1" s="10" t="s">
        <v>5</v>
      </c>
      <c r="P1" s="3"/>
    </row>
    <row r="2" spans="1:16" ht="15.75" thickBot="1" x14ac:dyDescent="0.3">
      <c r="A2" s="1" t="s">
        <v>15</v>
      </c>
      <c r="B2" s="6" t="str">
        <f>IF(F3="","",F3)</f>
        <v>The Enforcer</v>
      </c>
      <c r="D2" s="11" t="s">
        <v>12</v>
      </c>
      <c r="E2" s="11"/>
      <c r="F2" s="11"/>
    </row>
    <row r="3" spans="1:16" x14ac:dyDescent="0.25">
      <c r="A3" s="1" t="s">
        <v>75</v>
      </c>
      <c r="B3" s="6" t="str">
        <f>IF(F4="","",F4)</f>
        <v>Protector</v>
      </c>
      <c r="D3" s="14"/>
      <c r="E3" s="12" t="s">
        <v>15</v>
      </c>
      <c r="F3" s="4" t="s">
        <v>117</v>
      </c>
      <c r="K3" s="2">
        <f>K4-K5</f>
        <v>1</v>
      </c>
    </row>
    <row r="4" spans="1:16" x14ac:dyDescent="0.25">
      <c r="A4" s="1" t="s">
        <v>17</v>
      </c>
      <c r="B4" s="6" t="str">
        <f>IF(F5="","",F5)</f>
        <v>Doc</v>
      </c>
      <c r="D4" s="14"/>
      <c r="E4" s="12" t="s">
        <v>75</v>
      </c>
      <c r="F4" s="4" t="s">
        <v>137</v>
      </c>
      <c r="K4" s="16">
        <v>1</v>
      </c>
    </row>
    <row r="5" spans="1:16" x14ac:dyDescent="0.25">
      <c r="A5" s="1" t="s">
        <v>90</v>
      </c>
      <c r="B5" s="6" t="str">
        <f t="shared" ref="B5:B10" si="0">IF(F9="","",F9)</f>
        <v>Task Force</v>
      </c>
      <c r="D5" s="14"/>
      <c r="E5" s="12" t="s">
        <v>17</v>
      </c>
      <c r="F5" s="4" t="s">
        <v>138</v>
      </c>
      <c r="K5" s="5">
        <f>K8</f>
        <v>0</v>
      </c>
    </row>
    <row r="6" spans="1:16" x14ac:dyDescent="0.25">
      <c r="A6" s="1" t="s">
        <v>76</v>
      </c>
      <c r="B6" s="6" t="str">
        <f t="shared" si="0"/>
        <v>Safe Place</v>
      </c>
    </row>
    <row r="7" spans="1:16" x14ac:dyDescent="0.25">
      <c r="A7" s="1" t="s">
        <v>77</v>
      </c>
      <c r="B7" s="6" t="str">
        <f t="shared" si="0"/>
        <v>Retainer (Hound)</v>
      </c>
    </row>
    <row r="8" spans="1:16" ht="15.75" thickBot="1" x14ac:dyDescent="0.3">
      <c r="A8" s="1" t="s">
        <v>79</v>
      </c>
      <c r="B8" s="6" t="str">
        <f t="shared" si="0"/>
        <v>Closed Book</v>
      </c>
      <c r="D8" s="11" t="s">
        <v>19</v>
      </c>
      <c r="E8" s="11"/>
      <c r="F8" s="11"/>
      <c r="K8" s="2">
        <f>SUM(K10:K14,K17)</f>
        <v>0</v>
      </c>
    </row>
    <row r="9" spans="1:16" x14ac:dyDescent="0.25">
      <c r="A9" s="1" t="s">
        <v>78</v>
      </c>
      <c r="B9" s="6" t="str">
        <f t="shared" si="0"/>
        <v>-</v>
      </c>
      <c r="D9" s="13"/>
      <c r="E9" s="12" t="s">
        <v>26</v>
      </c>
      <c r="F9" s="5" t="str">
        <f>VLOOKUP(F3,tblMerits[],3,FALSE)</f>
        <v>Task Force</v>
      </c>
      <c r="K9" s="2"/>
    </row>
    <row r="10" spans="1:16" x14ac:dyDescent="0.25">
      <c r="A10" s="1" t="s">
        <v>80</v>
      </c>
      <c r="B10" s="6" t="str">
        <f t="shared" si="0"/>
        <v>Task Force</v>
      </c>
      <c r="D10" s="13"/>
      <c r="E10" s="12" t="s">
        <v>81</v>
      </c>
      <c r="F10" s="5" t="str">
        <f>VLOOKUP(F3,tblMerits[],4,FALSE)</f>
        <v>Safe Place</v>
      </c>
      <c r="K10" s="4"/>
      <c r="L10" s="5">
        <f>K10</f>
        <v>0</v>
      </c>
      <c r="M10" s="2">
        <f>SUM(I10,L10)</f>
        <v>0</v>
      </c>
      <c r="O10" s="5">
        <v>5</v>
      </c>
    </row>
    <row r="11" spans="1:16" x14ac:dyDescent="0.25">
      <c r="A11" s="1" t="s">
        <v>82</v>
      </c>
      <c r="B11" s="15" t="str">
        <f>IF(OR(M10=0,M10=""),"-",REPT("●",M10))</f>
        <v>-</v>
      </c>
      <c r="D11" s="13"/>
      <c r="E11" s="12" t="s">
        <v>81</v>
      </c>
      <c r="F11" s="5" t="str">
        <f>VLOOKUP(F3,tblMerits[],5,FALSE)</f>
        <v>Retainer (Hound)</v>
      </c>
      <c r="K11" s="4"/>
      <c r="L11" s="5">
        <f>K11</f>
        <v>0</v>
      </c>
      <c r="M11" s="2">
        <f>SUM(I11,L11)</f>
        <v>0</v>
      </c>
      <c r="O11" s="5">
        <v>5</v>
      </c>
    </row>
    <row r="12" spans="1:16" x14ac:dyDescent="0.25">
      <c r="A12" s="1" t="s">
        <v>83</v>
      </c>
      <c r="B12" s="15" t="str">
        <f t="shared" ref="B12:B15" si="1">IF(OR(M11=0,M11=""),"-",REPT("●",M11))</f>
        <v>-</v>
      </c>
      <c r="D12" s="13"/>
      <c r="E12" s="12" t="s">
        <v>81</v>
      </c>
      <c r="F12" s="5" t="str">
        <f>VLOOKUP(F3,tblMerits[],6,FALSE)</f>
        <v>Closed Book</v>
      </c>
      <c r="K12" s="4"/>
      <c r="L12" s="5">
        <f>K12</f>
        <v>0</v>
      </c>
      <c r="M12" s="2">
        <f>SUM(I12,L12)</f>
        <v>0</v>
      </c>
      <c r="O12" s="5">
        <v>5</v>
      </c>
    </row>
    <row r="13" spans="1:16" x14ac:dyDescent="0.25">
      <c r="A13" s="1" t="s">
        <v>84</v>
      </c>
      <c r="B13" s="15" t="str">
        <f t="shared" si="1"/>
        <v>-</v>
      </c>
      <c r="D13" s="13"/>
      <c r="E13" s="12" t="s">
        <v>81</v>
      </c>
      <c r="F13" s="5" t="str">
        <f>VLOOKUP(F3,tblMerits[],7,FALSE)</f>
        <v>-</v>
      </c>
      <c r="K13" s="4"/>
      <c r="L13" s="5">
        <f>K13</f>
        <v>0</v>
      </c>
      <c r="M13" s="2">
        <f>SUM(I13,L13)</f>
        <v>0</v>
      </c>
      <c r="O13" s="5">
        <v>5</v>
      </c>
    </row>
    <row r="14" spans="1:16" x14ac:dyDescent="0.25">
      <c r="A14" s="1" t="s">
        <v>85</v>
      </c>
      <c r="B14" s="15" t="str">
        <f t="shared" si="1"/>
        <v>-</v>
      </c>
      <c r="D14" s="13"/>
      <c r="E14" s="12" t="s">
        <v>81</v>
      </c>
      <c r="F14" s="5" t="str">
        <f>VLOOKUP(F3,tblMerits[],3,FALSE)</f>
        <v>Task Force</v>
      </c>
      <c r="K14" s="4"/>
      <c r="L14" s="5">
        <f>K14</f>
        <v>0</v>
      </c>
      <c r="M14" s="2">
        <f>SUM(I14,L14)</f>
        <v>0</v>
      </c>
      <c r="O14" s="5">
        <v>5</v>
      </c>
    </row>
    <row r="15" spans="1:16" x14ac:dyDescent="0.25">
      <c r="A15" s="1" t="s">
        <v>86</v>
      </c>
      <c r="B15" s="15" t="str">
        <f t="shared" si="1"/>
        <v>-</v>
      </c>
    </row>
    <row r="16" spans="1:16" ht="15.75" thickBot="1" x14ac:dyDescent="0.3">
      <c r="A16" s="1" t="s">
        <v>101</v>
      </c>
      <c r="B16" s="15" t="str">
        <f>IF(F17="","",F17)</f>
        <v>Goon Squad</v>
      </c>
      <c r="D16" s="11" t="s">
        <v>25</v>
      </c>
      <c r="E16" s="11"/>
      <c r="F16" s="11"/>
    </row>
    <row r="17" spans="1:15" x14ac:dyDescent="0.25">
      <c r="A17" s="1" t="s">
        <v>96</v>
      </c>
      <c r="B17" s="6" t="str">
        <f>IF($M$17&gt;=1,"●", "○")</f>
        <v>○</v>
      </c>
      <c r="D17" s="13"/>
      <c r="E17" s="12" t="s">
        <v>26</v>
      </c>
      <c r="F17" s="5" t="str">
        <f>VLOOKUP(F3,tblMerits[],9,FALSE)</f>
        <v>Goon Squad</v>
      </c>
      <c r="K17" s="4"/>
      <c r="L17" s="5">
        <f>K17</f>
        <v>0</v>
      </c>
      <c r="M17" s="2">
        <f>SUM(I17,L17)</f>
        <v>0</v>
      </c>
      <c r="O17" s="5">
        <v>5</v>
      </c>
    </row>
    <row r="18" spans="1:15" x14ac:dyDescent="0.25">
      <c r="A18" s="1" t="s">
        <v>97</v>
      </c>
      <c r="B18" s="6" t="str">
        <f>IF($M$17&gt;=2,"●", "○")</f>
        <v>○</v>
      </c>
      <c r="D18" s="12">
        <v>1</v>
      </c>
      <c r="E18" s="14"/>
      <c r="F18" s="5" t="str" cm="1">
        <f t="array" ref="F18:F22">_xlfn._xlws.FILTER(tblManoeuvres[Manoeuvre], tblManoeuvres[Style]=F17)</f>
        <v>Perimeter</v>
      </c>
    </row>
    <row r="19" spans="1:15" x14ac:dyDescent="0.25">
      <c r="A19" s="1" t="s">
        <v>98</v>
      </c>
      <c r="B19" s="6" t="str">
        <f>IF($M$17&gt;=3,"●", "○")</f>
        <v>○</v>
      </c>
      <c r="D19" s="12">
        <v>2</v>
      </c>
      <c r="E19" s="14"/>
      <c r="F19" s="5" t="str">
        <v>Ear to the Ground</v>
      </c>
    </row>
    <row r="20" spans="1:15" x14ac:dyDescent="0.25">
      <c r="A20" s="1" t="s">
        <v>99</v>
      </c>
      <c r="B20" s="6" t="str">
        <f>IF($M$17&gt;=4,"●", "○")</f>
        <v>○</v>
      </c>
      <c r="D20" s="12">
        <v>3</v>
      </c>
      <c r="E20" s="14"/>
      <c r="F20" s="5" t="str">
        <v>Stakeout</v>
      </c>
    </row>
    <row r="21" spans="1:15" x14ac:dyDescent="0.25">
      <c r="A21" s="1" t="s">
        <v>100</v>
      </c>
      <c r="B21" s="6" t="str">
        <f>IF($M$17&gt;=5,"●", "○")</f>
        <v>○</v>
      </c>
      <c r="D21" s="12">
        <v>4</v>
      </c>
      <c r="E21" s="14"/>
      <c r="F21" s="5" t="str">
        <v xml:space="preserve">Crackdown </v>
      </c>
    </row>
    <row r="22" spans="1:15" x14ac:dyDescent="0.25">
      <c r="A22" s="1" t="s">
        <v>91</v>
      </c>
      <c r="B22" s="6" t="str">
        <f>IF(F18="","",F18)</f>
        <v>Perimeter</v>
      </c>
      <c r="D22" s="12">
        <v>5</v>
      </c>
      <c r="E22" s="14"/>
      <c r="F22" s="5" t="str">
        <v>Neighbourhood Watch</v>
      </c>
    </row>
    <row r="23" spans="1:15" x14ac:dyDescent="0.25">
      <c r="A23" s="1" t="s">
        <v>92</v>
      </c>
      <c r="B23" s="6" t="str">
        <f t="shared" ref="B23:B26" si="2">IF(F19="","",F19)</f>
        <v>Ear to the Ground</v>
      </c>
    </row>
    <row r="24" spans="1:15" x14ac:dyDescent="0.25">
      <c r="A24" s="1" t="s">
        <v>93</v>
      </c>
      <c r="B24" s="6" t="str">
        <f t="shared" si="2"/>
        <v>Stakeout</v>
      </c>
    </row>
    <row r="25" spans="1:15" x14ac:dyDescent="0.25">
      <c r="A25" s="1" t="s">
        <v>94</v>
      </c>
      <c r="B25" s="6" t="str">
        <f t="shared" si="2"/>
        <v xml:space="preserve">Crackdown </v>
      </c>
    </row>
    <row r="26" spans="1:15" x14ac:dyDescent="0.25">
      <c r="A26" s="1" t="s">
        <v>95</v>
      </c>
      <c r="B26" s="6" t="str">
        <f t="shared" si="2"/>
        <v>Neighbourhood Watch</v>
      </c>
    </row>
    <row r="27" spans="1:15" x14ac:dyDescent="0.25">
      <c r="A27" s="1" t="s">
        <v>102</v>
      </c>
      <c r="B27" s="6" t="str">
        <f>VLOOKUP(B22,tblManoeuvres[],4,FALSE)</f>
        <v>During Downtime, spend 1 Influence and choose 1 territory, then learn if it gets intruded upon.</v>
      </c>
    </row>
    <row r="28" spans="1:15" x14ac:dyDescent="0.25">
      <c r="A28" s="1" t="s">
        <v>103</v>
      </c>
      <c r="B28" s="6" t="str">
        <f>VLOOKUP(B23,tblManoeuvres[],4,FALSE)</f>
        <v>During Downtime, spend 1 Influence to gain information from one Sphere.</v>
      </c>
    </row>
    <row r="29" spans="1:15" x14ac:dyDescent="0.25">
      <c r="A29" s="1" t="s">
        <v>104</v>
      </c>
      <c r="B29" s="6" t="str">
        <f>VLOOKUP(B24,tblManoeuvres[],4,FALSE)</f>
        <v>During Downtime, spend 1 Influence to learn what Disciplines or powers of the blood are used in a territory.</v>
      </c>
    </row>
    <row r="30" spans="1:15" x14ac:dyDescent="0.25">
      <c r="A30" s="1" t="s">
        <v>105</v>
      </c>
      <c r="B30" s="6" t="str">
        <f>VLOOKUP(B25,tblManoeuvres[],4,FALSE)</f>
        <v>During Downtime, spend 1 Influence and your attempts to interfere with any Downtime actions gain 8-Again.</v>
      </c>
    </row>
    <row r="31" spans="1:15" x14ac:dyDescent="0.25">
      <c r="A31" s="1" t="s">
        <v>106</v>
      </c>
      <c r="B31" s="6" t="str">
        <f>VLOOKUP(B26,tblManoeuvres[],4,FALSE)</f>
        <v>Spend 1 Influence to learn the Clan and Covenant status of another Kindred at Court.</v>
      </c>
    </row>
    <row r="32" spans="1:15" x14ac:dyDescent="0.25">
      <c r="A32" s="1" t="s">
        <v>121</v>
      </c>
      <c r="B32" s="6" t="str">
        <f>VLOOKUP(B2,tblMerits[],2,FALSE)</f>
        <v>Each session, you can lower another character's City Status by 1 when they breach what you are charged to enforce.
Your enforcement must conform to the norms of court. If you overstep, others will be justified in dropping your own City Status.</v>
      </c>
    </row>
    <row r="33" spans="1:2" x14ac:dyDescent="0.25">
      <c r="A33" s="1" t="s">
        <v>3</v>
      </c>
      <c r="B33" s="15">
        <f>IF(K3="","",K3)</f>
        <v>1</v>
      </c>
    </row>
  </sheetData>
  <pageMargins left="0.7" right="0.7" top="0.75" bottom="0.75" header="0.3" footer="0.3"/>
  <pageSetup paperSize="9" orientation="portrait" horizontalDpi="0" verticalDpi="0"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C5342-249E-41BE-B686-3E6D93414579}">
  <dimension ref="A1:D26"/>
  <sheetViews>
    <sheetView workbookViewId="0">
      <selection activeCell="B22" sqref="B22"/>
    </sheetView>
  </sheetViews>
  <sheetFormatPr defaultRowHeight="15" x14ac:dyDescent="0.25"/>
  <cols>
    <col min="1" max="1" width="28.42578125" bestFit="1" customWidth="1"/>
    <col min="2" max="2" width="23.140625" bestFit="1" customWidth="1"/>
    <col min="3" max="3" width="7.5703125" bestFit="1" customWidth="1"/>
    <col min="4" max="4" width="233.42578125" bestFit="1" customWidth="1"/>
    <col min="6" max="6" width="3.5703125" bestFit="1" customWidth="1"/>
  </cols>
  <sheetData>
    <row r="1" spans="1:4" x14ac:dyDescent="0.25">
      <c r="A1" t="s">
        <v>28</v>
      </c>
      <c r="B1" t="s">
        <v>29</v>
      </c>
      <c r="C1" t="s">
        <v>30</v>
      </c>
      <c r="D1" t="s">
        <v>31</v>
      </c>
    </row>
    <row r="2" spans="1:4" x14ac:dyDescent="0.25">
      <c r="A2" t="s">
        <v>32</v>
      </c>
      <c r="B2" t="s">
        <v>27</v>
      </c>
      <c r="C2">
        <v>1</v>
      </c>
      <c r="D2" t="s">
        <v>33</v>
      </c>
    </row>
    <row r="3" spans="1:4" x14ac:dyDescent="0.25">
      <c r="A3" t="s">
        <v>38</v>
      </c>
      <c r="B3" t="s">
        <v>27</v>
      </c>
      <c r="C3">
        <v>2</v>
      </c>
      <c r="D3" t="s">
        <v>34</v>
      </c>
    </row>
    <row r="4" spans="1:4" x14ac:dyDescent="0.25">
      <c r="A4" t="s">
        <v>39</v>
      </c>
      <c r="B4" t="s">
        <v>27</v>
      </c>
      <c r="C4">
        <v>3</v>
      </c>
      <c r="D4" t="s">
        <v>35</v>
      </c>
    </row>
    <row r="5" spans="1:4" x14ac:dyDescent="0.25">
      <c r="A5" t="s">
        <v>40</v>
      </c>
      <c r="B5" t="s">
        <v>27</v>
      </c>
      <c r="C5">
        <v>4</v>
      </c>
      <c r="D5" t="s">
        <v>36</v>
      </c>
    </row>
    <row r="6" spans="1:4" x14ac:dyDescent="0.25">
      <c r="A6" t="s">
        <v>41</v>
      </c>
      <c r="B6" t="s">
        <v>27</v>
      </c>
      <c r="C6">
        <v>5</v>
      </c>
      <c r="D6" t="s">
        <v>37</v>
      </c>
    </row>
    <row r="7" spans="1:4" x14ac:dyDescent="0.25">
      <c r="A7" t="s">
        <v>43</v>
      </c>
      <c r="B7" t="s">
        <v>42</v>
      </c>
      <c r="C7">
        <v>1</v>
      </c>
      <c r="D7" t="s">
        <v>51</v>
      </c>
    </row>
    <row r="8" spans="1:4" x14ac:dyDescent="0.25">
      <c r="A8" t="s">
        <v>44</v>
      </c>
      <c r="B8" t="s">
        <v>42</v>
      </c>
      <c r="C8">
        <v>2</v>
      </c>
      <c r="D8" t="s">
        <v>48</v>
      </c>
    </row>
    <row r="9" spans="1:4" x14ac:dyDescent="0.25">
      <c r="A9" t="s">
        <v>45</v>
      </c>
      <c r="B9" t="s">
        <v>42</v>
      </c>
      <c r="C9">
        <v>3</v>
      </c>
      <c r="D9" t="s">
        <v>49</v>
      </c>
    </row>
    <row r="10" spans="1:4" x14ac:dyDescent="0.25">
      <c r="A10" t="s">
        <v>46</v>
      </c>
      <c r="B10" t="s">
        <v>42</v>
      </c>
      <c r="C10">
        <v>4</v>
      </c>
      <c r="D10" t="s">
        <v>50</v>
      </c>
    </row>
    <row r="11" spans="1:4" x14ac:dyDescent="0.25">
      <c r="A11" t="s">
        <v>47</v>
      </c>
      <c r="B11" t="s">
        <v>42</v>
      </c>
      <c r="C11">
        <v>5</v>
      </c>
      <c r="D11" t="s">
        <v>52</v>
      </c>
    </row>
    <row r="12" spans="1:4" x14ac:dyDescent="0.25">
      <c r="A12" t="s">
        <v>54</v>
      </c>
      <c r="B12" t="s">
        <v>53</v>
      </c>
      <c r="C12">
        <v>1</v>
      </c>
      <c r="D12" t="s">
        <v>59</v>
      </c>
    </row>
    <row r="13" spans="1:4" x14ac:dyDescent="0.25">
      <c r="A13" t="s">
        <v>55</v>
      </c>
      <c r="B13" t="s">
        <v>53</v>
      </c>
      <c r="C13">
        <v>2</v>
      </c>
      <c r="D13" t="s">
        <v>60</v>
      </c>
    </row>
    <row r="14" spans="1:4" x14ac:dyDescent="0.25">
      <c r="A14" t="s">
        <v>56</v>
      </c>
      <c r="B14" t="s">
        <v>53</v>
      </c>
      <c r="C14">
        <v>3</v>
      </c>
      <c r="D14" t="s">
        <v>61</v>
      </c>
    </row>
    <row r="15" spans="1:4" x14ac:dyDescent="0.25">
      <c r="A15" t="s">
        <v>57</v>
      </c>
      <c r="B15" t="s">
        <v>53</v>
      </c>
      <c r="C15">
        <v>4</v>
      </c>
      <c r="D15" t="s">
        <v>62</v>
      </c>
    </row>
    <row r="16" spans="1:4" x14ac:dyDescent="0.25">
      <c r="A16" t="s">
        <v>58</v>
      </c>
      <c r="B16" t="s">
        <v>53</v>
      </c>
      <c r="C16">
        <v>5</v>
      </c>
      <c r="D16" t="s">
        <v>63</v>
      </c>
    </row>
    <row r="17" spans="1:4" x14ac:dyDescent="0.25">
      <c r="A17" t="s">
        <v>65</v>
      </c>
      <c r="B17" t="s">
        <v>64</v>
      </c>
      <c r="C17">
        <v>1</v>
      </c>
      <c r="D17" t="s">
        <v>66</v>
      </c>
    </row>
    <row r="18" spans="1:4" x14ac:dyDescent="0.25">
      <c r="A18" t="s">
        <v>67</v>
      </c>
      <c r="B18" t="s">
        <v>64</v>
      </c>
      <c r="C18">
        <v>2</v>
      </c>
      <c r="D18" t="s">
        <v>68</v>
      </c>
    </row>
    <row r="19" spans="1:4" x14ac:dyDescent="0.25">
      <c r="A19" t="s">
        <v>69</v>
      </c>
      <c r="B19" t="s">
        <v>64</v>
      </c>
      <c r="C19">
        <v>3</v>
      </c>
      <c r="D19" t="s">
        <v>70</v>
      </c>
    </row>
    <row r="20" spans="1:4" x14ac:dyDescent="0.25">
      <c r="A20" t="s">
        <v>71</v>
      </c>
      <c r="B20" t="s">
        <v>64</v>
      </c>
      <c r="C20">
        <v>4</v>
      </c>
      <c r="D20" t="s">
        <v>72</v>
      </c>
    </row>
    <row r="21" spans="1:4" x14ac:dyDescent="0.25">
      <c r="A21" t="s">
        <v>43</v>
      </c>
      <c r="B21" t="s">
        <v>64</v>
      </c>
      <c r="C21">
        <v>5</v>
      </c>
      <c r="D21" t="s">
        <v>73</v>
      </c>
    </row>
    <row r="22" spans="1:4" x14ac:dyDescent="0.25">
      <c r="B22" t="s">
        <v>74</v>
      </c>
      <c r="C22">
        <v>1</v>
      </c>
    </row>
    <row r="23" spans="1:4" x14ac:dyDescent="0.25">
      <c r="B23" t="s">
        <v>74</v>
      </c>
      <c r="C23">
        <v>2</v>
      </c>
    </row>
    <row r="24" spans="1:4" x14ac:dyDescent="0.25">
      <c r="B24" t="s">
        <v>74</v>
      </c>
      <c r="C24">
        <v>3</v>
      </c>
    </row>
    <row r="25" spans="1:4" x14ac:dyDescent="0.25">
      <c r="B25" t="s">
        <v>74</v>
      </c>
      <c r="C25">
        <v>4</v>
      </c>
    </row>
    <row r="26" spans="1:4" x14ac:dyDescent="0.25">
      <c r="B26" t="s">
        <v>74</v>
      </c>
      <c r="C26">
        <v>5</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BC15E-63B0-43C6-BA2B-69E9D2C69040}">
  <dimension ref="A1:I6"/>
  <sheetViews>
    <sheetView workbookViewId="0">
      <selection activeCell="A5" sqref="A5"/>
    </sheetView>
  </sheetViews>
  <sheetFormatPr defaultRowHeight="15" x14ac:dyDescent="0.25"/>
  <cols>
    <col min="1" max="1" width="17.28515625" bestFit="1" customWidth="1"/>
    <col min="2" max="2" width="127.28515625" bestFit="1" customWidth="1"/>
    <col min="3" max="3" width="18.42578125" bestFit="1" customWidth="1"/>
    <col min="4" max="4" width="16.28515625" bestFit="1" customWidth="1"/>
    <col min="5" max="5" width="16.42578125" bestFit="1" customWidth="1"/>
    <col min="6" max="6" width="11.85546875" bestFit="1" customWidth="1"/>
    <col min="7" max="7" width="18.42578125" bestFit="1" customWidth="1"/>
    <col min="8" max="8" width="9.7109375" bestFit="1" customWidth="1"/>
    <col min="9" max="9" width="18" bestFit="1" customWidth="1"/>
  </cols>
  <sheetData>
    <row r="1" spans="1:9" x14ac:dyDescent="0.25">
      <c r="A1" t="s">
        <v>15</v>
      </c>
      <c r="B1" t="s">
        <v>120</v>
      </c>
      <c r="C1" t="s">
        <v>132</v>
      </c>
      <c r="D1" t="s">
        <v>76</v>
      </c>
      <c r="E1" t="s">
        <v>77</v>
      </c>
      <c r="F1" t="s">
        <v>79</v>
      </c>
      <c r="G1" t="s">
        <v>78</v>
      </c>
      <c r="H1" t="s">
        <v>80</v>
      </c>
      <c r="I1" t="s">
        <v>124</v>
      </c>
    </row>
    <row r="2" spans="1:9" ht="120" x14ac:dyDescent="0.25">
      <c r="A2" t="s">
        <v>110</v>
      </c>
      <c r="B2" s="18" t="s">
        <v>109</v>
      </c>
      <c r="C2" s="18" t="s">
        <v>89</v>
      </c>
      <c r="D2" s="18" t="s">
        <v>20</v>
      </c>
      <c r="E2" s="18" t="s">
        <v>21</v>
      </c>
      <c r="F2" s="18" t="s">
        <v>22</v>
      </c>
      <c r="G2" s="18" t="s">
        <v>23</v>
      </c>
      <c r="H2" s="18" t="s">
        <v>24</v>
      </c>
      <c r="I2" t="s">
        <v>27</v>
      </c>
    </row>
    <row r="3" spans="1:9" ht="75" x14ac:dyDescent="0.25">
      <c r="A3" t="s">
        <v>113</v>
      </c>
      <c r="B3" s="18" t="s">
        <v>111</v>
      </c>
      <c r="C3" s="18" t="s">
        <v>134</v>
      </c>
      <c r="D3" s="18" t="s">
        <v>123</v>
      </c>
      <c r="E3" s="18" t="s">
        <v>126</v>
      </c>
      <c r="F3" s="18" t="s">
        <v>22</v>
      </c>
      <c r="G3" s="18" t="s">
        <v>24</v>
      </c>
      <c r="H3" s="18" t="s">
        <v>88</v>
      </c>
      <c r="I3" t="s">
        <v>42</v>
      </c>
    </row>
    <row r="4" spans="1:9" ht="75" x14ac:dyDescent="0.25">
      <c r="A4" t="s">
        <v>115</v>
      </c>
      <c r="B4" s="18" t="s">
        <v>114</v>
      </c>
      <c r="C4" s="18" t="s">
        <v>53</v>
      </c>
      <c r="D4" s="18" t="s">
        <v>127</v>
      </c>
      <c r="E4" s="18" t="s">
        <v>128</v>
      </c>
      <c r="F4" s="18" t="s">
        <v>123</v>
      </c>
      <c r="G4" s="18" t="s">
        <v>129</v>
      </c>
      <c r="H4" s="18" t="s">
        <v>130</v>
      </c>
      <c r="I4" t="s">
        <v>53</v>
      </c>
    </row>
    <row r="5" spans="1:9" ht="30" x14ac:dyDescent="0.25">
      <c r="A5" t="s">
        <v>117</v>
      </c>
      <c r="B5" s="18" t="s">
        <v>116</v>
      </c>
      <c r="C5" s="18" t="s">
        <v>133</v>
      </c>
      <c r="D5" s="18" t="s">
        <v>20</v>
      </c>
      <c r="E5" s="18" t="s">
        <v>131</v>
      </c>
      <c r="F5" s="18" t="s">
        <v>126</v>
      </c>
      <c r="G5" s="18" t="s">
        <v>88</v>
      </c>
      <c r="H5" s="18" t="s">
        <v>88</v>
      </c>
      <c r="I5" t="s">
        <v>64</v>
      </c>
    </row>
    <row r="6" spans="1:9" ht="45" x14ac:dyDescent="0.25">
      <c r="A6" t="s">
        <v>119</v>
      </c>
      <c r="B6" s="18" t="s">
        <v>118</v>
      </c>
      <c r="C6" s="18"/>
      <c r="D6" s="18"/>
      <c r="E6" s="18"/>
      <c r="F6" s="18"/>
      <c r="G6" s="18"/>
      <c r="H6" s="18"/>
      <c r="I6" t="s">
        <v>74</v>
      </c>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DA929C5-6CB3-40DF-8274-3080A1B1084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Office Data</vt:lpstr>
      <vt:lpstr>The Ruler</vt:lpstr>
      <vt:lpstr>The Primogen 1</vt:lpstr>
      <vt:lpstr>The Primogen 2</vt:lpstr>
      <vt:lpstr>Socialite 1</vt:lpstr>
      <vt:lpstr>Socialite 2</vt:lpstr>
      <vt:lpstr>The Enforcer</vt:lpstr>
      <vt:lpstr>tbl-Manouevres</vt:lpstr>
      <vt:lpstr>tbl-Merits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Angelus Morningstar</dc:creator>
  <cp:lastModifiedBy>Angelus Morningstar</cp:lastModifiedBy>
  <dcterms:created xsi:type="dcterms:W3CDTF">2025-08-03T07:29:20Z</dcterms:created>
  <dcterms:modified xsi:type="dcterms:W3CDTF">2026-03-20T09:08:48Z</dcterms:modified>
</cp:coreProperties>
</file>